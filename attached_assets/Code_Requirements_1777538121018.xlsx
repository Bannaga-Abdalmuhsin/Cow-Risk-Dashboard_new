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298" documentId="13_ncr:1_{66B66A2C-70AE-4449-87A7-946CFDEE1104}" xr6:coauthVersionLast="47" xr6:coauthVersionMax="47" xr10:uidLastSave="{5A87391F-9350-462F-BC33-C2C21DE00AAC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65" i="2" l="1"/>
  <c r="AC65" i="2"/>
  <c r="AD65" i="2"/>
  <c r="AE65" i="2"/>
  <c r="AF65" i="2"/>
  <c r="AG65" i="2"/>
  <c r="AH65" i="2"/>
  <c r="AI65" i="2" s="1"/>
  <c r="AJ65" i="2" s="1"/>
  <c r="AK65" i="2"/>
  <c r="AL65" i="2"/>
  <c r="AM65" i="2"/>
  <c r="AN65" i="2"/>
  <c r="AO65" i="2" s="1"/>
  <c r="AP65" i="2"/>
  <c r="AQ65" i="2"/>
  <c r="AB66" i="2"/>
  <c r="AC66" i="2"/>
  <c r="AD66" i="2"/>
  <c r="AE66" i="2"/>
  <c r="AF66" i="2"/>
  <c r="AG66" i="2"/>
  <c r="AH66" i="2"/>
  <c r="AK66" i="2"/>
  <c r="AL66" i="2"/>
  <c r="AN66" i="2"/>
  <c r="AQ66" i="2"/>
  <c r="AB67" i="2"/>
  <c r="AC67" i="2"/>
  <c r="AD67" i="2"/>
  <c r="AE67" i="2"/>
  <c r="AF67" i="2"/>
  <c r="AG67" i="2"/>
  <c r="AH67" i="2"/>
  <c r="AI67" i="2" s="1"/>
  <c r="AJ67" i="2" s="1"/>
  <c r="AK67" i="2"/>
  <c r="AL67" i="2"/>
  <c r="AM67" i="2"/>
  <c r="AN67" i="2"/>
  <c r="AQ67" i="2"/>
  <c r="AB68" i="2"/>
  <c r="AC68" i="2"/>
  <c r="AD68" i="2"/>
  <c r="AE68" i="2"/>
  <c r="AF68" i="2"/>
  <c r="AG68" i="2"/>
  <c r="AH68" i="2"/>
  <c r="AI68" i="2" s="1"/>
  <c r="AJ68" i="2" s="1"/>
  <c r="AK68" i="2"/>
  <c r="AL68" i="2"/>
  <c r="AM68" i="2"/>
  <c r="AN68" i="2"/>
  <c r="AO68" i="2"/>
  <c r="AP68" i="2"/>
  <c r="AQ68" i="2"/>
  <c r="AB69" i="2"/>
  <c r="AC69" i="2"/>
  <c r="AD69" i="2"/>
  <c r="AE69" i="2"/>
  <c r="AF69" i="2"/>
  <c r="AG69" i="2"/>
  <c r="AH69" i="2"/>
  <c r="AK69" i="2"/>
  <c r="AL69" i="2"/>
  <c r="AN69" i="2"/>
  <c r="AO69" i="2" s="1"/>
  <c r="AP69" i="2"/>
  <c r="AQ69" i="2"/>
  <c r="AB70" i="2"/>
  <c r="AC70" i="2"/>
  <c r="AD70" i="2"/>
  <c r="AE70" i="2"/>
  <c r="AF70" i="2"/>
  <c r="AG70" i="2"/>
  <c r="AH70" i="2"/>
  <c r="AI70" i="2" s="1"/>
  <c r="AJ70" i="2" s="1"/>
  <c r="AK70" i="2"/>
  <c r="AL70" i="2"/>
  <c r="AM70" i="2"/>
  <c r="AN70" i="2"/>
  <c r="AQ70" i="2"/>
  <c r="AB71" i="2"/>
  <c r="AC71" i="2"/>
  <c r="AD71" i="2"/>
  <c r="AE71" i="2"/>
  <c r="AF71" i="2"/>
  <c r="AG71" i="2"/>
  <c r="AH71" i="2"/>
  <c r="AI71" i="2" s="1"/>
  <c r="AJ71" i="2" s="1"/>
  <c r="AK71" i="2"/>
  <c r="AL71" i="2"/>
  <c r="AM71" i="2"/>
  <c r="AN71" i="2"/>
  <c r="AO71" i="2" s="1"/>
  <c r="AP71" i="2"/>
  <c r="AQ71" i="2"/>
  <c r="AB72" i="2"/>
  <c r="AC72" i="2"/>
  <c r="AD72" i="2"/>
  <c r="AE72" i="2"/>
  <c r="AF72" i="2"/>
  <c r="AG72" i="2"/>
  <c r="AH72" i="2"/>
  <c r="AK72" i="2"/>
  <c r="AL72" i="2"/>
  <c r="AN72" i="2"/>
  <c r="AO72" i="2" s="1"/>
  <c r="AQ72" i="2"/>
  <c r="AB73" i="2"/>
  <c r="AC73" i="2"/>
  <c r="AD73" i="2"/>
  <c r="AE73" i="2"/>
  <c r="AF73" i="2"/>
  <c r="AG73" i="2"/>
  <c r="AH73" i="2"/>
  <c r="AI73" i="2" s="1"/>
  <c r="AJ73" i="2" s="1"/>
  <c r="AK73" i="2"/>
  <c r="AL73" i="2"/>
  <c r="AM73" i="2"/>
  <c r="AN73" i="2"/>
  <c r="AO73" i="2" s="1"/>
  <c r="AP73" i="2"/>
  <c r="AQ73" i="2"/>
  <c r="AB74" i="2"/>
  <c r="AC74" i="2"/>
  <c r="AD74" i="2"/>
  <c r="AE74" i="2"/>
  <c r="AF74" i="2"/>
  <c r="AG74" i="2"/>
  <c r="AH74" i="2"/>
  <c r="AI74" i="2" s="1"/>
  <c r="AJ74" i="2" s="1"/>
  <c r="AK74" i="2"/>
  <c r="AL74" i="2"/>
  <c r="AM74" i="2"/>
  <c r="AN74" i="2"/>
  <c r="AQ74" i="2"/>
  <c r="AB75" i="2"/>
  <c r="AC75" i="2"/>
  <c r="AD75" i="2"/>
  <c r="AE75" i="2"/>
  <c r="AF75" i="2"/>
  <c r="AG75" i="2"/>
  <c r="AH75" i="2"/>
  <c r="AK75" i="2"/>
  <c r="AL75" i="2"/>
  <c r="AN75" i="2"/>
  <c r="AO75" i="2" s="1"/>
  <c r="AP75" i="2"/>
  <c r="AQ75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B80" i="2"/>
  <c r="AC80" i="2"/>
  <c r="AD80" i="2"/>
  <c r="AE80" i="2"/>
  <c r="AF80" i="2"/>
  <c r="AG80" i="2"/>
  <c r="AH80" i="2"/>
  <c r="AK80" i="2"/>
  <c r="AL80" i="2"/>
  <c r="AN80" i="2"/>
  <c r="AO80" i="2" s="1"/>
  <c r="AP80" i="2"/>
  <c r="AQ80" i="2"/>
  <c r="AB81" i="2"/>
  <c r="AC81" i="2"/>
  <c r="AD81" i="2"/>
  <c r="AE81" i="2"/>
  <c r="AF81" i="2"/>
  <c r="AG81" i="2"/>
  <c r="AH81" i="2"/>
  <c r="AI81" i="2" s="1"/>
  <c r="AJ81" i="2" s="1"/>
  <c r="AK81" i="2"/>
  <c r="AL81" i="2"/>
  <c r="AM81" i="2"/>
  <c r="AN81" i="2"/>
  <c r="AO81" i="2" s="1"/>
  <c r="AP81" i="2"/>
  <c r="AQ81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V65" i="2"/>
  <c r="W65" i="2" s="1"/>
  <c r="V66" i="2"/>
  <c r="W66" i="2"/>
  <c r="V67" i="2"/>
  <c r="W67" i="2"/>
  <c r="V68" i="2"/>
  <c r="W68" i="2"/>
  <c r="V69" i="2"/>
  <c r="W69" i="2"/>
  <c r="V70" i="2"/>
  <c r="W70" i="2"/>
  <c r="V71" i="2"/>
  <c r="W71" i="2"/>
  <c r="V72" i="2"/>
  <c r="W72" i="2"/>
  <c r="V73" i="2"/>
  <c r="W73" i="2"/>
  <c r="V74" i="2"/>
  <c r="W74" i="2"/>
  <c r="V75" i="2"/>
  <c r="W75" i="2"/>
  <c r="V76" i="2"/>
  <c r="W76" i="2" s="1"/>
  <c r="V77" i="2"/>
  <c r="W77" i="2"/>
  <c r="V78" i="2"/>
  <c r="W78" i="2"/>
  <c r="V79" i="2"/>
  <c r="W79" i="2"/>
  <c r="V80" i="2"/>
  <c r="W80" i="2"/>
  <c r="V81" i="2"/>
  <c r="W81" i="2" s="1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K53" i="2"/>
  <c r="AK54" i="2"/>
  <c r="AB6" i="2"/>
  <c r="Z32" i="2"/>
  <c r="AB4" i="2"/>
  <c r="Z56" i="2"/>
  <c r="Z50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1" i="2"/>
  <c r="Z52" i="2"/>
  <c r="Z53" i="2"/>
  <c r="Z54" i="2"/>
  <c r="Z55" i="2"/>
  <c r="Z57" i="2"/>
  <c r="Z58" i="2"/>
  <c r="Z59" i="2"/>
  <c r="Z60" i="2"/>
  <c r="Z61" i="2"/>
  <c r="Z62" i="2"/>
  <c r="Z63" i="2"/>
  <c r="Z64" i="2"/>
  <c r="Z2" i="2"/>
  <c r="AE55" i="2"/>
  <c r="AF55" i="2"/>
  <c r="AG55" i="2"/>
  <c r="AH55" i="2"/>
  <c r="AN55" i="2"/>
  <c r="AO55" i="2" s="1"/>
  <c r="AQ55" i="2"/>
  <c r="AE56" i="2"/>
  <c r="AF56" i="2"/>
  <c r="AG56" i="2"/>
  <c r="AH56" i="2"/>
  <c r="AN56" i="2"/>
  <c r="AO56" i="2" s="1"/>
  <c r="AQ56" i="2"/>
  <c r="AE57" i="2"/>
  <c r="AF57" i="2"/>
  <c r="AG57" i="2"/>
  <c r="AH57" i="2"/>
  <c r="AN57" i="2"/>
  <c r="AQ57" i="2"/>
  <c r="AE58" i="2"/>
  <c r="AF58" i="2"/>
  <c r="AG58" i="2"/>
  <c r="AH58" i="2"/>
  <c r="AN58" i="2"/>
  <c r="AQ58" i="2"/>
  <c r="AE59" i="2"/>
  <c r="AF59" i="2"/>
  <c r="AG59" i="2"/>
  <c r="AH59" i="2"/>
  <c r="AI59" i="2" s="1"/>
  <c r="AJ59" i="2" s="1"/>
  <c r="AN59" i="2"/>
  <c r="AQ59" i="2"/>
  <c r="AE60" i="2"/>
  <c r="AF60" i="2"/>
  <c r="AG60" i="2"/>
  <c r="AH60" i="2"/>
  <c r="AN60" i="2"/>
  <c r="AO60" i="2" s="1"/>
  <c r="AQ60" i="2"/>
  <c r="AE61" i="2"/>
  <c r="AF61" i="2"/>
  <c r="AG61" i="2"/>
  <c r="AH61" i="2"/>
  <c r="AN61" i="2"/>
  <c r="AO61" i="2" s="1"/>
  <c r="AQ61" i="2"/>
  <c r="AE62" i="2"/>
  <c r="AF62" i="2"/>
  <c r="AG62" i="2"/>
  <c r="AH62" i="2"/>
  <c r="AI62" i="2" s="1"/>
  <c r="AJ62" i="2" s="1"/>
  <c r="AN62" i="2"/>
  <c r="AQ62" i="2"/>
  <c r="AE63" i="2"/>
  <c r="AF63" i="2"/>
  <c r="AG63" i="2"/>
  <c r="AH63" i="2"/>
  <c r="AI63" i="2" s="1"/>
  <c r="AJ63" i="2" s="1"/>
  <c r="AN63" i="2"/>
  <c r="AQ63" i="2"/>
  <c r="AE64" i="2"/>
  <c r="AF64" i="2"/>
  <c r="AG64" i="2"/>
  <c r="AH64" i="2"/>
  <c r="AN64" i="2"/>
  <c r="AQ64" i="2"/>
  <c r="AD55" i="2"/>
  <c r="AD56" i="2"/>
  <c r="AD57" i="2"/>
  <c r="AD58" i="2"/>
  <c r="AD59" i="2"/>
  <c r="AD60" i="2"/>
  <c r="AD61" i="2"/>
  <c r="AD62" i="2"/>
  <c r="AD63" i="2"/>
  <c r="AD64" i="2"/>
  <c r="AC63" i="2"/>
  <c r="AC64" i="2"/>
  <c r="AB55" i="2"/>
  <c r="AB56" i="2"/>
  <c r="AB57" i="2"/>
  <c r="AB58" i="2"/>
  <c r="AB59" i="2"/>
  <c r="AB60" i="2"/>
  <c r="AB61" i="2"/>
  <c r="AB62" i="2"/>
  <c r="AB63" i="2"/>
  <c r="AB64" i="2"/>
  <c r="AA55" i="2"/>
  <c r="AA56" i="2"/>
  <c r="AA57" i="2"/>
  <c r="AA58" i="2"/>
  <c r="AA59" i="2"/>
  <c r="AA60" i="2"/>
  <c r="AA61" i="2"/>
  <c r="AA62" i="2"/>
  <c r="AA63" i="2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64" i="2"/>
  <c r="W64" i="2" s="1"/>
  <c r="Y64" i="2" s="1"/>
  <c r="V55" i="2"/>
  <c r="W55" i="2" s="1"/>
  <c r="Y55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L53" i="2"/>
  <c r="AL54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H54" i="2"/>
  <c r="AI54" i="2" s="1"/>
  <c r="AJ54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B3" i="2"/>
  <c r="AB5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54" i="2"/>
  <c r="Y54" i="2" s="1"/>
  <c r="W31" i="2"/>
  <c r="Y31" i="2" s="1"/>
  <c r="Y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I66" i="2" l="1"/>
  <c r="AJ66" i="2" s="1"/>
  <c r="AM66" i="2"/>
  <c r="AP66" i="2"/>
  <c r="AO66" i="2"/>
  <c r="AO67" i="2"/>
  <c r="AP67" i="2"/>
  <c r="AI69" i="2"/>
  <c r="AJ69" i="2" s="1"/>
  <c r="AM69" i="2"/>
  <c r="AO70" i="2"/>
  <c r="AP70" i="2"/>
  <c r="AM72" i="2"/>
  <c r="AP72" i="2"/>
  <c r="AI72" i="2"/>
  <c r="AJ72" i="2" s="1"/>
  <c r="AP74" i="2"/>
  <c r="AO74" i="2"/>
  <c r="AI75" i="2"/>
  <c r="AJ75" i="2" s="1"/>
  <c r="AM75" i="2"/>
  <c r="AM80" i="2"/>
  <c r="AI80" i="2"/>
  <c r="AJ80" i="2" s="1"/>
  <c r="AQ15" i="2"/>
  <c r="AK55" i="2"/>
  <c r="AM55" i="2" s="1"/>
  <c r="AL55" i="2"/>
  <c r="AC55" i="2"/>
  <c r="AL56" i="2"/>
  <c r="AC56" i="2"/>
  <c r="AK56" i="2"/>
  <c r="AM56" i="2" s="1"/>
  <c r="AC57" i="2"/>
  <c r="AL57" i="2"/>
  <c r="AK57" i="2"/>
  <c r="AM57" i="2" s="1"/>
  <c r="AL58" i="2"/>
  <c r="AK58" i="2"/>
  <c r="AM58" i="2" s="1"/>
  <c r="AC58" i="2"/>
  <c r="AL59" i="2"/>
  <c r="AK59" i="2"/>
  <c r="AM59" i="2" s="1"/>
  <c r="AC59" i="2"/>
  <c r="AL60" i="2"/>
  <c r="AK60" i="2"/>
  <c r="AM60" i="2" s="1"/>
  <c r="AC60" i="2"/>
  <c r="AL61" i="2"/>
  <c r="AK61" i="2"/>
  <c r="AM61" i="2" s="1"/>
  <c r="AC61" i="2"/>
  <c r="AC62" i="2"/>
  <c r="AL62" i="2"/>
  <c r="AK62" i="2"/>
  <c r="AM62" i="2" s="1"/>
  <c r="AL63" i="2"/>
  <c r="AK63" i="2"/>
  <c r="AM63" i="2" s="1"/>
  <c r="AL64" i="2"/>
  <c r="AK64" i="2"/>
  <c r="AM64" i="2" s="1"/>
  <c r="AP56" i="2"/>
  <c r="AI57" i="2"/>
  <c r="AJ57" i="2" s="1"/>
  <c r="AI64" i="2"/>
  <c r="AJ64" i="2" s="1"/>
  <c r="AJ2" i="2"/>
  <c r="AP60" i="2"/>
  <c r="AO59" i="2"/>
  <c r="AP59" i="2"/>
  <c r="AI60" i="2"/>
  <c r="AJ60" i="2" s="1"/>
  <c r="AI61" i="2"/>
  <c r="AJ61" i="2" s="1"/>
  <c r="AP61" i="2"/>
  <c r="AO62" i="2"/>
  <c r="AP62" i="2"/>
  <c r="AO64" i="2"/>
  <c r="AP64" i="2"/>
  <c r="AP55" i="2"/>
  <c r="AI58" i="2"/>
  <c r="AJ58" i="2" s="1"/>
  <c r="AO58" i="2"/>
  <c r="AP58" i="2"/>
  <c r="AI55" i="2"/>
  <c r="AJ55" i="2" s="1"/>
  <c r="AI56" i="2"/>
  <c r="AJ56" i="2" s="1"/>
  <c r="AO57" i="2"/>
  <c r="AP57" i="2"/>
  <c r="AP63" i="2"/>
  <c r="AO63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P50" i="2"/>
  <c r="AM50" i="2"/>
  <c r="AM51" i="2"/>
  <c r="AP51" i="2"/>
  <c r="AM52" i="2"/>
  <c r="AP52" i="2"/>
  <c r="AM53" i="2"/>
  <c r="AP53" i="2"/>
  <c r="AM54" i="2"/>
  <c r="AP54" i="2"/>
  <c r="AM21" i="2"/>
  <c r="AM22" i="2"/>
  <c r="AM24" i="2"/>
  <c r="AJ12" i="2"/>
  <c r="AJ15" i="2"/>
  <c r="AJ16" i="2"/>
  <c r="AM26" i="2"/>
  <c r="AM27" i="2"/>
  <c r="AM28" i="2"/>
  <c r="AM29" i="2"/>
  <c r="AM30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  <c r="AL2" i="2" l="1"/>
  <c r="AK2" i="2"/>
  <c r="AM2" i="2" s="1"/>
  <c r="AC2" i="2"/>
</calcChain>
</file>

<file path=xl/sharedStrings.xml><?xml version="1.0" encoding="utf-8"?>
<sst xmlns="http://schemas.openxmlformats.org/spreadsheetml/2006/main" count="365" uniqueCount="132">
  <si>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</si>
  <si>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</si>
  <si>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</si>
  <si>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</si>
  <si>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</si>
  <si>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</si>
  <si>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</si>
  <si>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</si>
  <si>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</si>
  <si>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</si>
  <si>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</si>
  <si>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</si>
  <si>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</si>
  <si>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</si>
  <si>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</si>
  <si>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</si>
  <si>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</si>
  <si>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</si>
  <si>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</si>
  <si>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</si>
  <si>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</si>
  <si>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</si>
  <si>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</si>
  <si>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</si>
  <si>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</si>
  <si>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</si>
  <si>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</si>
  <si>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</si>
  <si>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</si>
  <si>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</si>
  <si>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</si>
  <si>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</si>
  <si>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</si>
  <si>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</si>
  <si>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</si>
  <si>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</si>
  <si>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</si>
  <si>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</si>
  <si>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</si>
  <si>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</si>
  <si>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</si>
  <si>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</si>
  <si>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</si>
  <si>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</si>
  <si>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</si>
  <si>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</si>
  <si>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</si>
  <si>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</si>
  <si>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</si>
  <si>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</si>
  <si>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</si>
  <si>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</si>
  <si>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</si>
  <si>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</si>
  <si>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</si>
  <si>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</si>
  <si>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</si>
  <si>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</si>
  <si>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</si>
  <si>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</si>
  <si>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</si>
  <si>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</si>
  <si>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</si>
  <si>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</si>
  <si>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</si>
  <si>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</si>
  <si>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</si>
  <si>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</si>
  <si>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</si>
  <si>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</si>
  <si>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</si>
  <si>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</si>
  <si>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</si>
  <si>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</si>
  <si>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</si>
  <si>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</si>
  <si>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</si>
  <si>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</si>
  <si>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</si>
  <si>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</si>
  <si>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</si>
  <si>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</si>
  <si>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</si>
  <si>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</si>
  <si>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</si>
  <si>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</si>
  <si>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</si>
  <si>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</si>
  <si>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</si>
  <si>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</si>
  <si>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</si>
  <si>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</si>
  <si>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</si>
  <si>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</si>
  <si>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</si>
  <si>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</si>
  <si>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</si>
  <si>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</si>
  <si>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</si>
  <si>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</si>
  <si>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</si>
  <si>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</si>
  <si>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</si>
  <si>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</si>
  <si>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</si>
  <si>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</si>
  <si>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</si>
  <si>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</si>
  <si>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</si>
  <si>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</si>
  <si>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</si>
  <si>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</si>
  <si>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</si>
  <si>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CWN318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</si>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</sst>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Q81"/>
  <sheetViews>
    <sheetView tabSelected="1" topLeftCell="A63" workbookViewId="0">
      <selection activeCell="Q64" sqref="Q64:R81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3" s="1" customFormat="1" ht="72" x14ac:dyDescent="0.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9" t="s">
        <v>1</v>
      </c>
      <c r="H1" s="9" t="s">
        <v>2</v>
      </c>
      <c r="I1" s="9" t="s">
        <v>3</v>
      </c>
      <c r="J1" s="9" t="s">
        <v>4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76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20</v>
      </c>
      <c r="AC1" s="9" t="s">
        <v>21</v>
      </c>
      <c r="AD1" s="9" t="s">
        <v>22</v>
      </c>
      <c r="AE1" s="9" t="s">
        <v>23</v>
      </c>
      <c r="AF1" s="10" t="s">
        <v>24</v>
      </c>
      <c r="AG1" s="10" t="s">
        <v>25</v>
      </c>
      <c r="AH1" s="10" t="s">
        <v>26</v>
      </c>
      <c r="AI1" s="10" t="s">
        <v>27</v>
      </c>
      <c r="AJ1" s="10" t="s">
        <v>28</v>
      </c>
      <c r="AK1" s="10" t="s">
        <v>29</v>
      </c>
      <c r="AL1" s="10" t="s">
        <v>30</v>
      </c>
      <c r="AM1" s="10" t="s">
        <v>31</v>
      </c>
      <c r="AN1" s="10" t="s">
        <v>32</v>
      </c>
      <c r="AO1" s="10" t="s">
        <v>0</v>
      </c>
      <c r="AP1" s="10" t="s">
        <v>33</v>
      </c>
      <c r="AQ1" s="10" t="s">
        <v>34</v>
      </c>
    </row>
    <row r="2" spans="1:43" x14ac:dyDescent="0.3">
      <c r="A2" s="13" t="s">
        <v>41</v>
      </c>
      <c r="B2" s="12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1">
        <v>0</v>
      </c>
      <c r="H2" s="2">
        <v>0</v>
      </c>
      <c r="I2" s="11">
        <v>100</v>
      </c>
      <c r="J2" s="11">
        <v>25</v>
      </c>
      <c r="K2" s="2">
        <v>0</v>
      </c>
      <c r="L2" s="11">
        <v>18</v>
      </c>
      <c r="M2" s="2">
        <v>36000</v>
      </c>
      <c r="N2" s="2">
        <v>0</v>
      </c>
      <c r="O2" s="2">
        <v>36000</v>
      </c>
      <c r="P2" s="2">
        <v>0</v>
      </c>
      <c r="Q2" s="11">
        <v>200</v>
      </c>
      <c r="R2" s="11">
        <v>3</v>
      </c>
      <c r="S2" s="2">
        <v>0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 t="shared" ref="Z2:Z33" si="0">G2*0.8*0.87*(1-0.03*H2/8760)</f>
        <v>0</v>
      </c>
      <c r="AA2" s="2">
        <f t="shared" ref="AA2:AA33" si="1">I2*1.7*0.8*230/1000</f>
        <v>31.28</v>
      </c>
      <c r="AB2" s="6">
        <f t="shared" ref="AB2:AB33" si="2">J2*0.8*0.87*(1-0.03*K2/8760)</f>
        <v>17.399999999999999</v>
      </c>
      <c r="AC2" s="2">
        <f t="shared" ref="AC2:AC33" si="3"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3">
        <f>AI2/X2</f>
        <v>1.25</v>
      </c>
      <c r="AK2" s="2">
        <f t="shared" ref="AK2:AK33" si="4">L2/0.08</f>
        <v>225</v>
      </c>
      <c r="AL2" s="2">
        <f t="shared" ref="AL2:AL33" si="5">L2*0.08</f>
        <v>1.44</v>
      </c>
      <c r="AM2" s="7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</row>
    <row r="3" spans="1:43" x14ac:dyDescent="0.3">
      <c r="A3" s="15" t="s">
        <v>42</v>
      </c>
      <c r="B3" s="12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1">
        <v>35</v>
      </c>
      <c r="H3" s="2">
        <v>0</v>
      </c>
      <c r="I3" s="11">
        <v>100</v>
      </c>
      <c r="J3" s="11">
        <v>35</v>
      </c>
      <c r="K3" s="2">
        <v>0</v>
      </c>
      <c r="L3" s="11">
        <v>19.2</v>
      </c>
      <c r="M3" s="2">
        <v>36000</v>
      </c>
      <c r="N3" s="2">
        <v>0</v>
      </c>
      <c r="O3" s="2">
        <v>36000</v>
      </c>
      <c r="P3" s="2">
        <v>0</v>
      </c>
      <c r="Q3" s="11">
        <v>190</v>
      </c>
      <c r="R3" s="11">
        <v>5</v>
      </c>
      <c r="S3" s="2">
        <v>0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6">V3+W3</f>
        <v>15</v>
      </c>
      <c r="Y3" s="2">
        <f t="shared" ref="Y3:Y66" si="7">W3*3412</f>
        <v>15354</v>
      </c>
      <c r="Z3" s="3">
        <f t="shared" si="0"/>
        <v>24.36</v>
      </c>
      <c r="AA3" s="2">
        <f t="shared" si="1"/>
        <v>31.28</v>
      </c>
      <c r="AB3" s="6">
        <f t="shared" si="2"/>
        <v>24.36</v>
      </c>
      <c r="AC3" s="2">
        <f t="shared" si="3"/>
        <v>19.2</v>
      </c>
      <c r="AD3" s="5">
        <f t="shared" ref="AD3:AD65" si="8">M3*0.83*(1-1.5%*N3)</f>
        <v>29880</v>
      </c>
      <c r="AE3" s="3">
        <f t="shared" ref="AE3:AE54" si="9">(M3*0.83)/(3.5*3412)</f>
        <v>2.5020934516831352</v>
      </c>
      <c r="AF3" s="2">
        <f t="shared" ref="AF3:AF54" si="10">O3*0.83*(1-1.5%*P3)</f>
        <v>29880</v>
      </c>
      <c r="AG3" s="3">
        <f t="shared" ref="AG3:AG54" si="11">(O3*0.83)/(3.5*3412)</f>
        <v>2.5020934516831352</v>
      </c>
      <c r="AH3" s="2">
        <f t="shared" ref="AH3:AH54" si="12">IF(P3&lt;6,Q3*R3*50%*(1-P3*20%),0)</f>
        <v>475</v>
      </c>
      <c r="AI3" s="2">
        <f t="shared" ref="AI3:AI54" si="13">AH3*50/1000</f>
        <v>23.75</v>
      </c>
      <c r="AJ3" s="3">
        <f t="shared" ref="AJ3:AJ54" si="14">AI3/X3</f>
        <v>1.5833333333333333</v>
      </c>
      <c r="AK3" s="2">
        <f t="shared" si="4"/>
        <v>240</v>
      </c>
      <c r="AL3" s="2">
        <f t="shared" si="5"/>
        <v>1.536</v>
      </c>
      <c r="AM3" s="7">
        <f t="shared" ref="AM3:AM54" si="15">AH3/AK3</f>
        <v>1.9791666666666667</v>
      </c>
      <c r="AN3" s="2">
        <f t="shared" ref="AN3:AN54" si="16">Q3*R3*0.1</f>
        <v>95</v>
      </c>
      <c r="AO3" s="2">
        <f t="shared" ref="AO3:AO54" si="17">AN3*50/1000</f>
        <v>4.75</v>
      </c>
      <c r="AP3" s="2">
        <f t="shared" ref="AP3:AP54" si="18">AH3/AN3</f>
        <v>5</v>
      </c>
      <c r="AQ3" s="2">
        <f t="shared" ref="AQ3:AQ29" si="19">X3*1000/50</f>
        <v>300</v>
      </c>
    </row>
    <row r="4" spans="1:43" x14ac:dyDescent="0.3">
      <c r="A4" s="13" t="s">
        <v>43</v>
      </c>
      <c r="B4" s="12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1">
        <v>0</v>
      </c>
      <c r="H4" s="2">
        <v>0</v>
      </c>
      <c r="I4" s="11">
        <v>100</v>
      </c>
      <c r="J4" s="11">
        <v>30</v>
      </c>
      <c r="K4" s="2">
        <v>0</v>
      </c>
      <c r="L4" s="11">
        <v>18</v>
      </c>
      <c r="M4" s="2">
        <v>48000</v>
      </c>
      <c r="N4" s="2">
        <v>0</v>
      </c>
      <c r="O4" s="2">
        <v>48000</v>
      </c>
      <c r="P4" s="2">
        <v>0</v>
      </c>
      <c r="Q4" s="11">
        <v>200</v>
      </c>
      <c r="R4" s="11">
        <v>4</v>
      </c>
      <c r="S4" s="2">
        <v>0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6"/>
        <v>12</v>
      </c>
      <c r="Y4" s="2">
        <f t="shared" si="7"/>
        <v>12283.199999999999</v>
      </c>
      <c r="Z4" s="3">
        <f t="shared" si="0"/>
        <v>0</v>
      </c>
      <c r="AA4" s="2">
        <f t="shared" si="1"/>
        <v>31.28</v>
      </c>
      <c r="AB4" s="6">
        <f t="shared" si="2"/>
        <v>20.88</v>
      </c>
      <c r="AC4" s="2">
        <f t="shared" si="3"/>
        <v>18</v>
      </c>
      <c r="AD4" s="5">
        <f t="shared" si="8"/>
        <v>39840</v>
      </c>
      <c r="AE4" s="3">
        <f t="shared" si="9"/>
        <v>3.3361246022441802</v>
      </c>
      <c r="AF4" s="2">
        <f t="shared" si="10"/>
        <v>39840</v>
      </c>
      <c r="AG4" s="3">
        <f t="shared" si="11"/>
        <v>3.3361246022441802</v>
      </c>
      <c r="AH4" s="2">
        <f t="shared" si="12"/>
        <v>400</v>
      </c>
      <c r="AI4" s="2">
        <f t="shared" si="13"/>
        <v>20</v>
      </c>
      <c r="AJ4" s="3">
        <f t="shared" si="14"/>
        <v>1.6666666666666667</v>
      </c>
      <c r="AK4" s="2">
        <f t="shared" si="4"/>
        <v>225</v>
      </c>
      <c r="AL4" s="2">
        <f t="shared" si="5"/>
        <v>1.44</v>
      </c>
      <c r="AM4" s="7">
        <f t="shared" si="15"/>
        <v>1.7777777777777777</v>
      </c>
      <c r="AN4" s="2">
        <f t="shared" si="16"/>
        <v>80</v>
      </c>
      <c r="AO4" s="2">
        <f t="shared" si="17"/>
        <v>4</v>
      </c>
      <c r="AP4" s="2">
        <f t="shared" si="18"/>
        <v>5</v>
      </c>
      <c r="AQ4" s="2">
        <f t="shared" si="19"/>
        <v>240</v>
      </c>
    </row>
    <row r="5" spans="1:43" x14ac:dyDescent="0.3">
      <c r="A5" s="13" t="s">
        <v>44</v>
      </c>
      <c r="B5" s="12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1">
        <v>30</v>
      </c>
      <c r="H5" s="2">
        <v>0</v>
      </c>
      <c r="I5" s="11">
        <v>0</v>
      </c>
      <c r="J5" s="11">
        <v>0</v>
      </c>
      <c r="K5" s="2">
        <v>0</v>
      </c>
      <c r="L5" s="11">
        <v>15</v>
      </c>
      <c r="M5" s="2">
        <v>36000</v>
      </c>
      <c r="N5" s="2">
        <v>0</v>
      </c>
      <c r="O5" s="2">
        <v>36000</v>
      </c>
      <c r="P5" s="2">
        <v>0</v>
      </c>
      <c r="Q5" s="11">
        <v>200</v>
      </c>
      <c r="R5" s="11">
        <v>7</v>
      </c>
      <c r="S5" s="2">
        <v>0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6"/>
        <v>12</v>
      </c>
      <c r="Y5" s="2">
        <f t="shared" si="7"/>
        <v>12283.199999999999</v>
      </c>
      <c r="Z5" s="3">
        <f t="shared" si="0"/>
        <v>20.88</v>
      </c>
      <c r="AA5" s="2">
        <f t="shared" si="1"/>
        <v>0</v>
      </c>
      <c r="AB5" s="6">
        <f t="shared" si="2"/>
        <v>0</v>
      </c>
      <c r="AC5" s="2">
        <f t="shared" si="3"/>
        <v>15</v>
      </c>
      <c r="AD5" s="5">
        <f t="shared" si="8"/>
        <v>29880</v>
      </c>
      <c r="AE5" s="3">
        <f t="shared" si="9"/>
        <v>2.5020934516831352</v>
      </c>
      <c r="AF5" s="2">
        <f t="shared" si="10"/>
        <v>29880</v>
      </c>
      <c r="AG5" s="3">
        <f t="shared" si="11"/>
        <v>2.5020934516831352</v>
      </c>
      <c r="AH5" s="2">
        <f t="shared" si="12"/>
        <v>700</v>
      </c>
      <c r="AI5" s="2">
        <f t="shared" si="13"/>
        <v>35</v>
      </c>
      <c r="AJ5" s="3">
        <f t="shared" si="14"/>
        <v>2.9166666666666665</v>
      </c>
      <c r="AK5" s="2">
        <f t="shared" si="4"/>
        <v>187.5</v>
      </c>
      <c r="AL5" s="2">
        <f t="shared" si="5"/>
        <v>1.2</v>
      </c>
      <c r="AM5" s="7">
        <f t="shared" si="15"/>
        <v>3.7333333333333334</v>
      </c>
      <c r="AN5" s="2">
        <f t="shared" si="16"/>
        <v>140</v>
      </c>
      <c r="AO5" s="2">
        <f t="shared" si="17"/>
        <v>7</v>
      </c>
      <c r="AP5" s="2">
        <f t="shared" si="18"/>
        <v>5</v>
      </c>
      <c r="AQ5" s="2">
        <f t="shared" si="19"/>
        <v>240</v>
      </c>
    </row>
    <row r="6" spans="1:43" x14ac:dyDescent="0.3">
      <c r="A6" s="13" t="s">
        <v>45</v>
      </c>
      <c r="B6" s="12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1">
        <v>0</v>
      </c>
      <c r="H6" s="2">
        <v>0</v>
      </c>
      <c r="I6" s="11">
        <v>100</v>
      </c>
      <c r="J6" s="11">
        <v>25</v>
      </c>
      <c r="K6" s="2">
        <v>0</v>
      </c>
      <c r="L6" s="11">
        <v>18</v>
      </c>
      <c r="M6" s="2">
        <v>36000</v>
      </c>
      <c r="N6" s="2">
        <v>0</v>
      </c>
      <c r="O6" s="2">
        <v>36000</v>
      </c>
      <c r="P6" s="2">
        <v>0</v>
      </c>
      <c r="Q6" s="11">
        <v>200</v>
      </c>
      <c r="R6" s="11">
        <v>3</v>
      </c>
      <c r="S6" s="2">
        <v>0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6"/>
        <v>12</v>
      </c>
      <c r="Y6" s="2">
        <f t="shared" si="7"/>
        <v>12283.199999999999</v>
      </c>
      <c r="Z6" s="3">
        <f t="shared" si="0"/>
        <v>0</v>
      </c>
      <c r="AA6" s="2">
        <f t="shared" si="1"/>
        <v>31.28</v>
      </c>
      <c r="AB6" s="6">
        <f t="shared" si="2"/>
        <v>17.399999999999999</v>
      </c>
      <c r="AC6" s="2">
        <f t="shared" si="3"/>
        <v>18</v>
      </c>
      <c r="AD6" s="5">
        <f t="shared" si="8"/>
        <v>29880</v>
      </c>
      <c r="AE6" s="3">
        <f t="shared" si="9"/>
        <v>2.5020934516831352</v>
      </c>
      <c r="AF6" s="2">
        <f t="shared" si="10"/>
        <v>29880</v>
      </c>
      <c r="AG6" s="3">
        <f t="shared" si="11"/>
        <v>2.5020934516831352</v>
      </c>
      <c r="AH6" s="2">
        <f t="shared" si="12"/>
        <v>300</v>
      </c>
      <c r="AI6" s="2">
        <f t="shared" si="13"/>
        <v>15</v>
      </c>
      <c r="AJ6" s="3">
        <f t="shared" si="14"/>
        <v>1.25</v>
      </c>
      <c r="AK6" s="2">
        <f t="shared" si="4"/>
        <v>225</v>
      </c>
      <c r="AL6" s="2">
        <f t="shared" si="5"/>
        <v>1.44</v>
      </c>
      <c r="AM6" s="7">
        <f t="shared" si="15"/>
        <v>1.3333333333333333</v>
      </c>
      <c r="AN6" s="2">
        <f t="shared" si="16"/>
        <v>60</v>
      </c>
      <c r="AO6" s="2">
        <f t="shared" si="17"/>
        <v>3</v>
      </c>
      <c r="AP6" s="2">
        <f t="shared" si="18"/>
        <v>5</v>
      </c>
      <c r="AQ6" s="2">
        <f t="shared" si="19"/>
        <v>240</v>
      </c>
    </row>
    <row r="7" spans="1:43" x14ac:dyDescent="0.3">
      <c r="A7" s="13" t="s">
        <v>46</v>
      </c>
      <c r="B7" s="12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1">
        <v>0</v>
      </c>
      <c r="H7" s="2">
        <v>0</v>
      </c>
      <c r="I7" s="11">
        <v>70</v>
      </c>
      <c r="J7" s="11">
        <v>35</v>
      </c>
      <c r="K7" s="2">
        <v>0</v>
      </c>
      <c r="L7" s="11">
        <v>21</v>
      </c>
      <c r="M7" s="2">
        <v>36000</v>
      </c>
      <c r="N7" s="2">
        <v>0</v>
      </c>
      <c r="O7" s="2">
        <v>36000</v>
      </c>
      <c r="P7" s="2">
        <v>0</v>
      </c>
      <c r="Q7" s="11">
        <v>190</v>
      </c>
      <c r="R7" s="11">
        <v>4</v>
      </c>
      <c r="S7" s="2">
        <v>0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6"/>
        <v>12</v>
      </c>
      <c r="Y7" s="2">
        <f t="shared" si="7"/>
        <v>12283.199999999999</v>
      </c>
      <c r="Z7" s="3">
        <f t="shared" si="0"/>
        <v>0</v>
      </c>
      <c r="AA7" s="2">
        <f t="shared" si="1"/>
        <v>21.896000000000001</v>
      </c>
      <c r="AB7" s="6">
        <f t="shared" si="2"/>
        <v>24.36</v>
      </c>
      <c r="AC7" s="2">
        <f t="shared" si="3"/>
        <v>21</v>
      </c>
      <c r="AD7" s="5">
        <f t="shared" si="8"/>
        <v>29880</v>
      </c>
      <c r="AE7" s="3">
        <f t="shared" si="9"/>
        <v>2.5020934516831352</v>
      </c>
      <c r="AF7" s="2">
        <f t="shared" si="10"/>
        <v>29880</v>
      </c>
      <c r="AG7" s="3">
        <f t="shared" si="11"/>
        <v>2.5020934516831352</v>
      </c>
      <c r="AH7" s="2">
        <f t="shared" si="12"/>
        <v>380</v>
      </c>
      <c r="AI7" s="2">
        <f t="shared" si="13"/>
        <v>19</v>
      </c>
      <c r="AJ7" s="3">
        <f t="shared" si="14"/>
        <v>1.5833333333333333</v>
      </c>
      <c r="AK7" s="2">
        <f t="shared" si="4"/>
        <v>262.5</v>
      </c>
      <c r="AL7" s="2">
        <f t="shared" si="5"/>
        <v>1.68</v>
      </c>
      <c r="AM7" s="7">
        <f t="shared" si="15"/>
        <v>1.4476190476190476</v>
      </c>
      <c r="AN7" s="2">
        <f t="shared" si="16"/>
        <v>76</v>
      </c>
      <c r="AO7" s="2">
        <f t="shared" si="17"/>
        <v>3.8</v>
      </c>
      <c r="AP7" s="2">
        <f t="shared" si="18"/>
        <v>5</v>
      </c>
      <c r="AQ7" s="2">
        <f t="shared" si="19"/>
        <v>240</v>
      </c>
    </row>
    <row r="8" spans="1:43" x14ac:dyDescent="0.3">
      <c r="A8" s="13" t="s">
        <v>47</v>
      </c>
      <c r="B8" s="12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1">
        <v>0</v>
      </c>
      <c r="H8" s="2">
        <v>0</v>
      </c>
      <c r="I8" s="11">
        <v>100</v>
      </c>
      <c r="J8" s="11">
        <v>35</v>
      </c>
      <c r="K8" s="2">
        <v>0</v>
      </c>
      <c r="L8" s="11">
        <v>21.6</v>
      </c>
      <c r="M8" s="2">
        <v>36000</v>
      </c>
      <c r="N8" s="2">
        <v>0</v>
      </c>
      <c r="O8" s="2">
        <v>36000</v>
      </c>
      <c r="P8" s="2">
        <v>0</v>
      </c>
      <c r="Q8" s="11">
        <v>200</v>
      </c>
      <c r="R8" s="11">
        <v>4</v>
      </c>
      <c r="S8" s="2">
        <v>0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6"/>
        <v>12</v>
      </c>
      <c r="Y8" s="2">
        <f t="shared" si="7"/>
        <v>12283.199999999999</v>
      </c>
      <c r="Z8" s="3">
        <f t="shared" si="0"/>
        <v>0</v>
      </c>
      <c r="AA8" s="2">
        <f t="shared" si="1"/>
        <v>31.28</v>
      </c>
      <c r="AB8" s="6">
        <f t="shared" si="2"/>
        <v>24.36</v>
      </c>
      <c r="AC8" s="2">
        <f t="shared" si="3"/>
        <v>21.6</v>
      </c>
      <c r="AD8" s="5">
        <f t="shared" si="8"/>
        <v>29880</v>
      </c>
      <c r="AE8" s="3">
        <f t="shared" si="9"/>
        <v>2.5020934516831352</v>
      </c>
      <c r="AF8" s="2">
        <f t="shared" si="10"/>
        <v>29880</v>
      </c>
      <c r="AG8" s="3">
        <f t="shared" si="11"/>
        <v>2.5020934516831352</v>
      </c>
      <c r="AH8" s="2">
        <f t="shared" si="12"/>
        <v>400</v>
      </c>
      <c r="AI8" s="2">
        <f t="shared" si="13"/>
        <v>20</v>
      </c>
      <c r="AJ8" s="3">
        <f t="shared" si="14"/>
        <v>1.6666666666666667</v>
      </c>
      <c r="AK8" s="2">
        <f t="shared" si="4"/>
        <v>270</v>
      </c>
      <c r="AL8" s="2">
        <f t="shared" si="5"/>
        <v>1.7280000000000002</v>
      </c>
      <c r="AM8" s="7">
        <f t="shared" si="15"/>
        <v>1.4814814814814814</v>
      </c>
      <c r="AN8" s="2">
        <f t="shared" si="16"/>
        <v>80</v>
      </c>
      <c r="AO8" s="2">
        <f t="shared" si="17"/>
        <v>4</v>
      </c>
      <c r="AP8" s="2">
        <f t="shared" si="18"/>
        <v>5</v>
      </c>
      <c r="AQ8" s="2">
        <f t="shared" si="19"/>
        <v>240</v>
      </c>
    </row>
    <row r="9" spans="1:43" x14ac:dyDescent="0.3">
      <c r="A9" s="13" t="s">
        <v>48</v>
      </c>
      <c r="B9" s="12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1">
        <v>0</v>
      </c>
      <c r="H9" s="2">
        <v>0</v>
      </c>
      <c r="I9" s="11">
        <v>100</v>
      </c>
      <c r="J9" s="11">
        <v>35</v>
      </c>
      <c r="K9" s="2">
        <v>0</v>
      </c>
      <c r="L9" s="11">
        <v>16.2</v>
      </c>
      <c r="M9" s="2">
        <v>36000</v>
      </c>
      <c r="N9" s="2">
        <v>0</v>
      </c>
      <c r="O9" s="2">
        <v>36000</v>
      </c>
      <c r="P9" s="2">
        <v>0</v>
      </c>
      <c r="Q9" s="11">
        <v>295</v>
      </c>
      <c r="R9" s="11">
        <v>5</v>
      </c>
      <c r="S9" s="2">
        <v>0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6"/>
        <v>12</v>
      </c>
      <c r="Y9" s="2">
        <f t="shared" si="7"/>
        <v>12283.199999999999</v>
      </c>
      <c r="Z9" s="3">
        <f t="shared" si="0"/>
        <v>0</v>
      </c>
      <c r="AA9" s="2">
        <f t="shared" si="1"/>
        <v>31.28</v>
      </c>
      <c r="AB9" s="6">
        <f t="shared" si="2"/>
        <v>24.36</v>
      </c>
      <c r="AC9" s="2">
        <f t="shared" si="3"/>
        <v>16.2</v>
      </c>
      <c r="AD9" s="5">
        <f t="shared" si="8"/>
        <v>29880</v>
      </c>
      <c r="AE9" s="3">
        <f t="shared" si="9"/>
        <v>2.5020934516831352</v>
      </c>
      <c r="AF9" s="2">
        <f t="shared" si="10"/>
        <v>29880</v>
      </c>
      <c r="AG9" s="3">
        <f t="shared" si="11"/>
        <v>2.5020934516831352</v>
      </c>
      <c r="AH9" s="2">
        <f t="shared" si="12"/>
        <v>737.5</v>
      </c>
      <c r="AI9" s="2">
        <f t="shared" si="13"/>
        <v>36.875</v>
      </c>
      <c r="AJ9" s="3">
        <f t="shared" si="14"/>
        <v>3.0729166666666665</v>
      </c>
      <c r="AK9" s="2">
        <f t="shared" si="4"/>
        <v>202.5</v>
      </c>
      <c r="AL9" s="2">
        <f t="shared" si="5"/>
        <v>1.296</v>
      </c>
      <c r="AM9" s="7">
        <f t="shared" si="15"/>
        <v>3.6419753086419755</v>
      </c>
      <c r="AN9" s="2">
        <f t="shared" si="16"/>
        <v>147.5</v>
      </c>
      <c r="AO9" s="2">
        <f t="shared" si="17"/>
        <v>7.375</v>
      </c>
      <c r="AP9" s="2">
        <f t="shared" si="18"/>
        <v>5</v>
      </c>
      <c r="AQ9" s="2">
        <f t="shared" si="19"/>
        <v>240</v>
      </c>
    </row>
    <row r="10" spans="1:43" x14ac:dyDescent="0.3">
      <c r="A10" s="13" t="s">
        <v>49</v>
      </c>
      <c r="B10" s="12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1">
        <v>0</v>
      </c>
      <c r="H10" s="2">
        <v>0</v>
      </c>
      <c r="I10" s="11">
        <v>100</v>
      </c>
      <c r="J10" s="11">
        <v>35</v>
      </c>
      <c r="K10" s="2">
        <v>0</v>
      </c>
      <c r="L10" s="11">
        <v>16.2</v>
      </c>
      <c r="M10" s="2">
        <v>36000</v>
      </c>
      <c r="N10" s="2">
        <v>0</v>
      </c>
      <c r="O10" s="2">
        <v>36000</v>
      </c>
      <c r="P10" s="2">
        <v>0</v>
      </c>
      <c r="Q10" s="11">
        <v>200</v>
      </c>
      <c r="R10" s="11">
        <v>4</v>
      </c>
      <c r="S10" s="2">
        <v>0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6"/>
        <v>12</v>
      </c>
      <c r="Y10" s="2">
        <f t="shared" si="7"/>
        <v>12283.199999999999</v>
      </c>
      <c r="Z10" s="3">
        <f t="shared" si="0"/>
        <v>0</v>
      </c>
      <c r="AA10" s="2">
        <f t="shared" si="1"/>
        <v>31.28</v>
      </c>
      <c r="AB10" s="6">
        <f t="shared" si="2"/>
        <v>24.36</v>
      </c>
      <c r="AC10" s="2">
        <f t="shared" si="3"/>
        <v>16.2</v>
      </c>
      <c r="AD10" s="5">
        <f t="shared" si="8"/>
        <v>29880</v>
      </c>
      <c r="AE10" s="3">
        <f t="shared" si="9"/>
        <v>2.5020934516831352</v>
      </c>
      <c r="AF10" s="2">
        <f t="shared" si="10"/>
        <v>29880</v>
      </c>
      <c r="AG10" s="3">
        <f t="shared" si="11"/>
        <v>2.5020934516831352</v>
      </c>
      <c r="AH10" s="2">
        <f t="shared" si="12"/>
        <v>400</v>
      </c>
      <c r="AI10" s="2">
        <f t="shared" si="13"/>
        <v>20</v>
      </c>
      <c r="AJ10" s="3">
        <f t="shared" si="14"/>
        <v>1.6666666666666667</v>
      </c>
      <c r="AK10" s="2">
        <f t="shared" si="4"/>
        <v>202.5</v>
      </c>
      <c r="AL10" s="2">
        <f t="shared" si="5"/>
        <v>1.296</v>
      </c>
      <c r="AM10" s="7">
        <f t="shared" si="15"/>
        <v>1.9753086419753085</v>
      </c>
      <c r="AN10" s="2">
        <f t="shared" si="16"/>
        <v>80</v>
      </c>
      <c r="AO10" s="2">
        <f t="shared" si="17"/>
        <v>4</v>
      </c>
      <c r="AP10" s="2">
        <f t="shared" si="18"/>
        <v>5</v>
      </c>
      <c r="AQ10" s="2">
        <f t="shared" si="19"/>
        <v>240</v>
      </c>
    </row>
    <row r="11" spans="1:43" x14ac:dyDescent="0.3">
      <c r="A11" s="13" t="s">
        <v>50</v>
      </c>
      <c r="B11" s="12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1">
        <v>0</v>
      </c>
      <c r="H11" s="2">
        <v>0</v>
      </c>
      <c r="I11" s="11">
        <v>100</v>
      </c>
      <c r="J11" s="11">
        <v>35</v>
      </c>
      <c r="K11" s="2">
        <v>0</v>
      </c>
      <c r="L11" s="11">
        <v>21</v>
      </c>
      <c r="M11" s="2">
        <v>36000</v>
      </c>
      <c r="N11" s="2">
        <v>0</v>
      </c>
      <c r="O11" s="2">
        <v>36000</v>
      </c>
      <c r="P11" s="2">
        <v>0</v>
      </c>
      <c r="Q11" s="11">
        <v>200</v>
      </c>
      <c r="R11" s="11">
        <v>4</v>
      </c>
      <c r="S11" s="2">
        <v>0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7"/>
        <v>15354</v>
      </c>
      <c r="Z11" s="3">
        <f t="shared" si="0"/>
        <v>0</v>
      </c>
      <c r="AA11" s="2">
        <f t="shared" si="1"/>
        <v>31.28</v>
      </c>
      <c r="AB11" s="6">
        <f t="shared" si="2"/>
        <v>24.36</v>
      </c>
      <c r="AC11" s="2">
        <f t="shared" si="3"/>
        <v>21</v>
      </c>
      <c r="AD11" s="5">
        <f t="shared" si="8"/>
        <v>29880</v>
      </c>
      <c r="AE11" s="3">
        <f t="shared" si="9"/>
        <v>2.5020934516831352</v>
      </c>
      <c r="AF11" s="2">
        <f t="shared" si="10"/>
        <v>29880</v>
      </c>
      <c r="AG11" s="3">
        <f t="shared" si="11"/>
        <v>2.5020934516831352</v>
      </c>
      <c r="AH11" s="2">
        <f t="shared" si="12"/>
        <v>400</v>
      </c>
      <c r="AI11" s="2">
        <f t="shared" si="13"/>
        <v>20</v>
      </c>
      <c r="AJ11" s="3">
        <f t="shared" si="14"/>
        <v>1.3333333333333333</v>
      </c>
      <c r="AK11" s="2">
        <f t="shared" si="4"/>
        <v>262.5</v>
      </c>
      <c r="AL11" s="2">
        <f t="shared" si="5"/>
        <v>1.68</v>
      </c>
      <c r="AM11" s="7">
        <f t="shared" si="15"/>
        <v>1.5238095238095237</v>
      </c>
      <c r="AN11" s="2">
        <f t="shared" si="16"/>
        <v>80</v>
      </c>
      <c r="AO11" s="2">
        <f t="shared" si="17"/>
        <v>4</v>
      </c>
      <c r="AP11" s="2">
        <f t="shared" si="18"/>
        <v>5</v>
      </c>
      <c r="AQ11" s="2">
        <f t="shared" si="19"/>
        <v>300</v>
      </c>
    </row>
    <row r="12" spans="1:43" x14ac:dyDescent="0.3">
      <c r="A12" s="13" t="s">
        <v>51</v>
      </c>
      <c r="B12" s="12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1">
        <v>0</v>
      </c>
      <c r="H12" s="2">
        <v>0</v>
      </c>
      <c r="I12" s="11">
        <v>100</v>
      </c>
      <c r="J12" s="11">
        <v>35</v>
      </c>
      <c r="K12" s="2">
        <v>0</v>
      </c>
      <c r="L12" s="11">
        <v>18</v>
      </c>
      <c r="M12" s="2">
        <v>36000</v>
      </c>
      <c r="N12" s="2">
        <v>0</v>
      </c>
      <c r="O12" s="2">
        <v>36000</v>
      </c>
      <c r="P12" s="2">
        <v>0</v>
      </c>
      <c r="Q12" s="11">
        <v>190</v>
      </c>
      <c r="R12" s="11">
        <v>4</v>
      </c>
      <c r="S12" s="2">
        <v>0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6"/>
        <v>12</v>
      </c>
      <c r="Y12" s="2">
        <f t="shared" si="7"/>
        <v>12283.199999999999</v>
      </c>
      <c r="Z12" s="3">
        <f t="shared" si="0"/>
        <v>0</v>
      </c>
      <c r="AA12" s="2">
        <f t="shared" si="1"/>
        <v>31.28</v>
      </c>
      <c r="AB12" s="6">
        <f t="shared" si="2"/>
        <v>24.36</v>
      </c>
      <c r="AC12" s="2">
        <f t="shared" si="3"/>
        <v>18</v>
      </c>
      <c r="AD12" s="5">
        <f t="shared" si="8"/>
        <v>29880</v>
      </c>
      <c r="AE12" s="3">
        <f t="shared" si="9"/>
        <v>2.5020934516831352</v>
      </c>
      <c r="AF12" s="2">
        <f t="shared" si="10"/>
        <v>29880</v>
      </c>
      <c r="AG12" s="3">
        <f t="shared" si="11"/>
        <v>2.5020934516831352</v>
      </c>
      <c r="AH12" s="2">
        <f t="shared" si="12"/>
        <v>380</v>
      </c>
      <c r="AI12" s="2">
        <f t="shared" si="13"/>
        <v>19</v>
      </c>
      <c r="AJ12" s="3">
        <f t="shared" si="14"/>
        <v>1.5833333333333333</v>
      </c>
      <c r="AK12" s="2">
        <f t="shared" si="4"/>
        <v>225</v>
      </c>
      <c r="AL12" s="2">
        <f t="shared" si="5"/>
        <v>1.44</v>
      </c>
      <c r="AM12" s="7">
        <f t="shared" si="15"/>
        <v>1.6888888888888889</v>
      </c>
      <c r="AN12" s="2">
        <f t="shared" si="16"/>
        <v>76</v>
      </c>
      <c r="AO12" s="2">
        <f t="shared" si="17"/>
        <v>3.8</v>
      </c>
      <c r="AP12" s="2">
        <f t="shared" si="18"/>
        <v>5</v>
      </c>
      <c r="AQ12" s="2">
        <f t="shared" si="19"/>
        <v>240</v>
      </c>
    </row>
    <row r="13" spans="1:43" x14ac:dyDescent="0.3">
      <c r="A13" s="13" t="s">
        <v>52</v>
      </c>
      <c r="B13" s="12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1">
        <v>0</v>
      </c>
      <c r="H13" s="2">
        <v>0</v>
      </c>
      <c r="I13" s="11">
        <v>100</v>
      </c>
      <c r="J13" s="11">
        <v>35</v>
      </c>
      <c r="K13" s="2">
        <v>0</v>
      </c>
      <c r="L13" s="11">
        <v>16.2</v>
      </c>
      <c r="M13" s="2">
        <v>36000</v>
      </c>
      <c r="N13" s="2">
        <v>0</v>
      </c>
      <c r="O13" s="2">
        <v>36000</v>
      </c>
      <c r="P13" s="2">
        <v>0</v>
      </c>
      <c r="Q13" s="11">
        <v>200</v>
      </c>
      <c r="R13" s="11">
        <v>4</v>
      </c>
      <c r="S13" s="2">
        <v>0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6"/>
        <v>17</v>
      </c>
      <c r="Y13" s="2">
        <f t="shared" si="7"/>
        <v>17401.199999999997</v>
      </c>
      <c r="Z13" s="3">
        <f t="shared" si="0"/>
        <v>0</v>
      </c>
      <c r="AA13" s="2">
        <f t="shared" si="1"/>
        <v>31.28</v>
      </c>
      <c r="AB13" s="6">
        <f t="shared" si="2"/>
        <v>24.36</v>
      </c>
      <c r="AC13" s="2">
        <f t="shared" si="3"/>
        <v>16.2</v>
      </c>
      <c r="AD13" s="5">
        <f t="shared" si="8"/>
        <v>29880</v>
      </c>
      <c r="AE13" s="3">
        <f t="shared" si="9"/>
        <v>2.5020934516831352</v>
      </c>
      <c r="AF13" s="2">
        <f t="shared" si="10"/>
        <v>29880</v>
      </c>
      <c r="AG13" s="3">
        <f t="shared" si="11"/>
        <v>2.5020934516831352</v>
      </c>
      <c r="AH13" s="2">
        <f t="shared" si="12"/>
        <v>400</v>
      </c>
      <c r="AI13" s="2">
        <f t="shared" si="13"/>
        <v>20</v>
      </c>
      <c r="AJ13" s="3">
        <f t="shared" si="14"/>
        <v>1.1764705882352942</v>
      </c>
      <c r="AK13" s="2">
        <f t="shared" si="4"/>
        <v>202.5</v>
      </c>
      <c r="AL13" s="2">
        <f t="shared" si="5"/>
        <v>1.296</v>
      </c>
      <c r="AM13" s="7">
        <f t="shared" si="15"/>
        <v>1.9753086419753085</v>
      </c>
      <c r="AN13" s="2">
        <f t="shared" si="16"/>
        <v>80</v>
      </c>
      <c r="AO13" s="2">
        <f t="shared" si="17"/>
        <v>4</v>
      </c>
      <c r="AP13" s="2">
        <f t="shared" si="18"/>
        <v>5</v>
      </c>
      <c r="AQ13" s="2">
        <f t="shared" si="19"/>
        <v>340</v>
      </c>
    </row>
    <row r="14" spans="1:43" x14ac:dyDescent="0.3">
      <c r="A14" s="13" t="s">
        <v>53</v>
      </c>
      <c r="B14" s="12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1">
        <v>0</v>
      </c>
      <c r="H14" s="2">
        <v>0</v>
      </c>
      <c r="I14" s="11">
        <v>200</v>
      </c>
      <c r="J14" s="11">
        <v>45</v>
      </c>
      <c r="K14" s="2">
        <v>0</v>
      </c>
      <c r="L14" s="11">
        <v>15</v>
      </c>
      <c r="M14" s="2">
        <v>36000</v>
      </c>
      <c r="N14" s="2">
        <v>0</v>
      </c>
      <c r="O14" s="2">
        <v>36000</v>
      </c>
      <c r="P14" s="2">
        <v>0</v>
      </c>
      <c r="Q14" s="11">
        <v>200</v>
      </c>
      <c r="R14" s="11">
        <v>8</v>
      </c>
      <c r="S14" s="2">
        <v>0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6"/>
        <v>15</v>
      </c>
      <c r="Y14" s="2">
        <f t="shared" si="7"/>
        <v>15354</v>
      </c>
      <c r="Z14" s="3">
        <f t="shared" si="0"/>
        <v>0</v>
      </c>
      <c r="AA14" s="2">
        <f t="shared" si="1"/>
        <v>62.56</v>
      </c>
      <c r="AB14" s="6">
        <f t="shared" si="2"/>
        <v>31.32</v>
      </c>
      <c r="AC14" s="2">
        <f t="shared" si="3"/>
        <v>15</v>
      </c>
      <c r="AD14" s="5">
        <f t="shared" si="8"/>
        <v>29880</v>
      </c>
      <c r="AE14" s="3">
        <f t="shared" si="9"/>
        <v>2.5020934516831352</v>
      </c>
      <c r="AF14" s="2">
        <f t="shared" si="10"/>
        <v>29880</v>
      </c>
      <c r="AG14" s="3">
        <f t="shared" si="11"/>
        <v>2.5020934516831352</v>
      </c>
      <c r="AH14" s="2">
        <f t="shared" si="12"/>
        <v>800</v>
      </c>
      <c r="AI14" s="2">
        <f t="shared" si="13"/>
        <v>40</v>
      </c>
      <c r="AJ14" s="3">
        <f t="shared" si="14"/>
        <v>2.6666666666666665</v>
      </c>
      <c r="AK14" s="2">
        <f t="shared" si="4"/>
        <v>187.5</v>
      </c>
      <c r="AL14" s="2">
        <f t="shared" si="5"/>
        <v>1.2</v>
      </c>
      <c r="AM14" s="7">
        <f t="shared" si="15"/>
        <v>4.2666666666666666</v>
      </c>
      <c r="AN14" s="2">
        <f t="shared" si="16"/>
        <v>160</v>
      </c>
      <c r="AO14" s="2">
        <f t="shared" si="17"/>
        <v>8</v>
      </c>
      <c r="AP14" s="2">
        <f t="shared" si="18"/>
        <v>5</v>
      </c>
      <c r="AQ14" s="2">
        <f t="shared" si="19"/>
        <v>300</v>
      </c>
    </row>
    <row r="15" spans="1:43" x14ac:dyDescent="0.3">
      <c r="A15" s="15" t="s">
        <v>54</v>
      </c>
      <c r="B15" s="12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1">
        <v>35</v>
      </c>
      <c r="H15" s="2">
        <v>0</v>
      </c>
      <c r="I15" s="11">
        <v>0</v>
      </c>
      <c r="J15" s="11">
        <v>0</v>
      </c>
      <c r="K15" s="2">
        <v>0</v>
      </c>
      <c r="L15" s="11">
        <v>18</v>
      </c>
      <c r="M15" s="2">
        <v>36000</v>
      </c>
      <c r="N15" s="2">
        <v>0</v>
      </c>
      <c r="O15" s="2">
        <v>36000</v>
      </c>
      <c r="P15" s="2">
        <v>0</v>
      </c>
      <c r="Q15" s="11">
        <v>200</v>
      </c>
      <c r="R15" s="11">
        <v>3</v>
      </c>
      <c r="S15" s="2">
        <v>0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6"/>
        <v>12</v>
      </c>
      <c r="Y15" s="2">
        <f t="shared" si="7"/>
        <v>12283.199999999999</v>
      </c>
      <c r="Z15" s="3">
        <f t="shared" si="0"/>
        <v>24.36</v>
      </c>
      <c r="AA15" s="2">
        <f t="shared" si="1"/>
        <v>0</v>
      </c>
      <c r="AB15" s="6">
        <f t="shared" si="2"/>
        <v>0</v>
      </c>
      <c r="AC15" s="2">
        <f t="shared" si="3"/>
        <v>18</v>
      </c>
      <c r="AD15" s="5">
        <f t="shared" si="8"/>
        <v>29880</v>
      </c>
      <c r="AE15" s="3">
        <f t="shared" si="9"/>
        <v>2.5020934516831352</v>
      </c>
      <c r="AF15" s="2">
        <f t="shared" si="10"/>
        <v>29880</v>
      </c>
      <c r="AG15" s="3">
        <f t="shared" si="11"/>
        <v>2.5020934516831352</v>
      </c>
      <c r="AH15" s="2">
        <f t="shared" si="12"/>
        <v>300</v>
      </c>
      <c r="AI15" s="2">
        <f t="shared" si="13"/>
        <v>15</v>
      </c>
      <c r="AJ15" s="3">
        <f t="shared" si="14"/>
        <v>1.25</v>
      </c>
      <c r="AK15" s="2">
        <f t="shared" si="4"/>
        <v>225</v>
      </c>
      <c r="AL15" s="2">
        <f t="shared" si="5"/>
        <v>1.44</v>
      </c>
      <c r="AM15" s="7">
        <f t="shared" si="15"/>
        <v>1.3333333333333333</v>
      </c>
      <c r="AN15" s="2">
        <f t="shared" si="16"/>
        <v>60</v>
      </c>
      <c r="AO15" s="2">
        <f t="shared" si="17"/>
        <v>3</v>
      </c>
      <c r="AP15" s="2">
        <f t="shared" si="18"/>
        <v>5</v>
      </c>
      <c r="AQ15" s="2">
        <f t="shared" si="19"/>
        <v>240</v>
      </c>
    </row>
    <row r="16" spans="1:43" x14ac:dyDescent="0.3">
      <c r="A16" s="13" t="s">
        <v>55</v>
      </c>
      <c r="B16" s="12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1">
        <v>0</v>
      </c>
      <c r="H16" s="2">
        <v>0</v>
      </c>
      <c r="I16" s="11">
        <v>100</v>
      </c>
      <c r="J16" s="11">
        <v>45</v>
      </c>
      <c r="K16" s="2">
        <v>0</v>
      </c>
      <c r="L16" s="11">
        <v>19.2</v>
      </c>
      <c r="M16" s="2">
        <v>36000</v>
      </c>
      <c r="N16" s="2">
        <v>0</v>
      </c>
      <c r="O16" s="2">
        <v>36000</v>
      </c>
      <c r="P16" s="2">
        <v>0</v>
      </c>
      <c r="Q16" s="11">
        <v>200</v>
      </c>
      <c r="R16" s="11">
        <v>8</v>
      </c>
      <c r="S16" s="2">
        <v>0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6"/>
        <v>15</v>
      </c>
      <c r="Y16" s="2">
        <f t="shared" si="7"/>
        <v>15354</v>
      </c>
      <c r="Z16" s="3">
        <f t="shared" si="0"/>
        <v>0</v>
      </c>
      <c r="AA16" s="2">
        <f t="shared" si="1"/>
        <v>31.28</v>
      </c>
      <c r="AB16" s="6">
        <f t="shared" si="2"/>
        <v>31.32</v>
      </c>
      <c r="AC16" s="2">
        <f t="shared" si="3"/>
        <v>19.2</v>
      </c>
      <c r="AD16" s="5">
        <f t="shared" si="8"/>
        <v>29880</v>
      </c>
      <c r="AE16" s="3">
        <f t="shared" si="9"/>
        <v>2.5020934516831352</v>
      </c>
      <c r="AF16" s="2">
        <f t="shared" si="10"/>
        <v>29880</v>
      </c>
      <c r="AG16" s="3">
        <f t="shared" si="11"/>
        <v>2.5020934516831352</v>
      </c>
      <c r="AH16" s="2">
        <f t="shared" si="12"/>
        <v>800</v>
      </c>
      <c r="AI16" s="2">
        <f t="shared" si="13"/>
        <v>40</v>
      </c>
      <c r="AJ16" s="3">
        <f t="shared" si="14"/>
        <v>2.6666666666666665</v>
      </c>
      <c r="AK16" s="2">
        <f t="shared" si="4"/>
        <v>240</v>
      </c>
      <c r="AL16" s="2">
        <f t="shared" si="5"/>
        <v>1.536</v>
      </c>
      <c r="AM16" s="7">
        <f t="shared" si="15"/>
        <v>3.3333333333333335</v>
      </c>
      <c r="AN16" s="2">
        <f t="shared" si="16"/>
        <v>160</v>
      </c>
      <c r="AO16" s="2">
        <f t="shared" si="17"/>
        <v>8</v>
      </c>
      <c r="AP16" s="2">
        <f t="shared" si="18"/>
        <v>5</v>
      </c>
      <c r="AQ16" s="2">
        <f t="shared" si="19"/>
        <v>300</v>
      </c>
    </row>
    <row r="17" spans="1:43" x14ac:dyDescent="0.3">
      <c r="A17" s="13" t="s">
        <v>56</v>
      </c>
      <c r="B17" s="12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1">
        <v>0</v>
      </c>
      <c r="H17" s="2">
        <v>0</v>
      </c>
      <c r="I17" s="11">
        <v>100</v>
      </c>
      <c r="J17" s="11">
        <v>25</v>
      </c>
      <c r="K17" s="2">
        <v>0</v>
      </c>
      <c r="L17" s="11">
        <v>18</v>
      </c>
      <c r="M17" s="2">
        <v>10200</v>
      </c>
      <c r="N17" s="2">
        <v>0</v>
      </c>
      <c r="O17" s="2">
        <v>0</v>
      </c>
      <c r="P17" s="2">
        <v>0</v>
      </c>
      <c r="Q17" s="11">
        <v>200</v>
      </c>
      <c r="R17" s="11">
        <v>4</v>
      </c>
      <c r="S17" s="2">
        <v>0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6"/>
        <v>12</v>
      </c>
      <c r="Y17" s="2">
        <f t="shared" si="7"/>
        <v>4913.28</v>
      </c>
      <c r="Z17" s="3">
        <f t="shared" si="0"/>
        <v>0</v>
      </c>
      <c r="AA17" s="2">
        <f t="shared" si="1"/>
        <v>31.28</v>
      </c>
      <c r="AB17" s="6">
        <f t="shared" si="2"/>
        <v>17.399999999999999</v>
      </c>
      <c r="AC17" s="2">
        <f t="shared" si="3"/>
        <v>18</v>
      </c>
      <c r="AD17" s="5">
        <f t="shared" si="8"/>
        <v>8466</v>
      </c>
      <c r="AE17" s="3">
        <f t="shared" si="9"/>
        <v>0.70892647797688835</v>
      </c>
      <c r="AF17" s="2">
        <f t="shared" si="10"/>
        <v>0</v>
      </c>
      <c r="AG17" s="3">
        <f t="shared" si="11"/>
        <v>0</v>
      </c>
      <c r="AH17" s="2">
        <f t="shared" si="12"/>
        <v>400</v>
      </c>
      <c r="AI17" s="2">
        <f t="shared" si="13"/>
        <v>20</v>
      </c>
      <c r="AJ17" s="3">
        <f t="shared" si="14"/>
        <v>1.6666666666666667</v>
      </c>
      <c r="AK17" s="2">
        <f t="shared" si="4"/>
        <v>225</v>
      </c>
      <c r="AL17" s="2">
        <f t="shared" si="5"/>
        <v>1.44</v>
      </c>
      <c r="AM17" s="7">
        <f t="shared" si="15"/>
        <v>1.7777777777777777</v>
      </c>
      <c r="AN17" s="2">
        <f t="shared" si="16"/>
        <v>80</v>
      </c>
      <c r="AO17" s="2">
        <f t="shared" si="17"/>
        <v>4</v>
      </c>
      <c r="AP17" s="2">
        <f t="shared" si="18"/>
        <v>5</v>
      </c>
      <c r="AQ17" s="2">
        <f t="shared" si="19"/>
        <v>240</v>
      </c>
    </row>
    <row r="18" spans="1:43" x14ac:dyDescent="0.3">
      <c r="A18" s="13" t="s">
        <v>57</v>
      </c>
      <c r="B18" s="12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1">
        <v>0</v>
      </c>
      <c r="H18" s="2">
        <v>0</v>
      </c>
      <c r="I18" s="11">
        <v>100</v>
      </c>
      <c r="J18" s="11">
        <v>25</v>
      </c>
      <c r="K18" s="2">
        <v>0</v>
      </c>
      <c r="L18" s="11">
        <v>18</v>
      </c>
      <c r="M18" s="2">
        <v>10200</v>
      </c>
      <c r="N18" s="2">
        <v>0</v>
      </c>
      <c r="O18" s="2">
        <v>0</v>
      </c>
      <c r="P18" s="2">
        <v>0</v>
      </c>
      <c r="Q18" s="11">
        <v>200</v>
      </c>
      <c r="R18" s="11">
        <v>4</v>
      </c>
      <c r="S18" s="2">
        <v>0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6"/>
        <v>12</v>
      </c>
      <c r="Y18" s="2">
        <f t="shared" si="7"/>
        <v>4913.28</v>
      </c>
      <c r="Z18" s="3">
        <f t="shared" si="0"/>
        <v>0</v>
      </c>
      <c r="AA18" s="2">
        <f t="shared" si="1"/>
        <v>31.28</v>
      </c>
      <c r="AB18" s="6">
        <f t="shared" si="2"/>
        <v>17.399999999999999</v>
      </c>
      <c r="AC18" s="2">
        <f t="shared" si="3"/>
        <v>18</v>
      </c>
      <c r="AD18" s="5">
        <f t="shared" si="8"/>
        <v>8466</v>
      </c>
      <c r="AE18" s="3">
        <f t="shared" si="9"/>
        <v>0.70892647797688835</v>
      </c>
      <c r="AF18" s="2">
        <f t="shared" si="10"/>
        <v>0</v>
      </c>
      <c r="AG18" s="3">
        <f t="shared" si="11"/>
        <v>0</v>
      </c>
      <c r="AH18" s="2">
        <f t="shared" si="12"/>
        <v>400</v>
      </c>
      <c r="AI18" s="2">
        <f t="shared" si="13"/>
        <v>20</v>
      </c>
      <c r="AJ18" s="3">
        <f t="shared" si="14"/>
        <v>1.6666666666666667</v>
      </c>
      <c r="AK18" s="2">
        <f t="shared" si="4"/>
        <v>225</v>
      </c>
      <c r="AL18" s="2">
        <f t="shared" si="5"/>
        <v>1.44</v>
      </c>
      <c r="AM18" s="7">
        <f t="shared" si="15"/>
        <v>1.7777777777777777</v>
      </c>
      <c r="AN18" s="2">
        <f t="shared" si="16"/>
        <v>80</v>
      </c>
      <c r="AO18" s="2">
        <f t="shared" si="17"/>
        <v>4</v>
      </c>
      <c r="AP18" s="2">
        <f t="shared" si="18"/>
        <v>5</v>
      </c>
      <c r="AQ18" s="2">
        <f t="shared" si="19"/>
        <v>240</v>
      </c>
    </row>
    <row r="19" spans="1:43" x14ac:dyDescent="0.3">
      <c r="A19" s="13" t="s">
        <v>58</v>
      </c>
      <c r="B19" s="12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1">
        <v>0</v>
      </c>
      <c r="H19" s="2">
        <v>0</v>
      </c>
      <c r="I19" s="11">
        <v>100</v>
      </c>
      <c r="J19" s="11">
        <v>25</v>
      </c>
      <c r="K19" s="2">
        <v>0</v>
      </c>
      <c r="L19" s="11">
        <v>15</v>
      </c>
      <c r="M19" s="2">
        <v>10200</v>
      </c>
      <c r="N19" s="2">
        <v>0</v>
      </c>
      <c r="O19" s="2">
        <v>0</v>
      </c>
      <c r="P19" s="2">
        <v>0</v>
      </c>
      <c r="Q19" s="11">
        <v>200</v>
      </c>
      <c r="R19" s="11">
        <v>4</v>
      </c>
      <c r="S19" s="2">
        <v>0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6"/>
        <v>12</v>
      </c>
      <c r="Y19" s="2">
        <f t="shared" si="7"/>
        <v>4913.28</v>
      </c>
      <c r="Z19" s="3">
        <f t="shared" si="0"/>
        <v>0</v>
      </c>
      <c r="AA19" s="2">
        <f t="shared" si="1"/>
        <v>31.28</v>
      </c>
      <c r="AB19" s="6">
        <f t="shared" si="2"/>
        <v>17.399999999999999</v>
      </c>
      <c r="AC19" s="2">
        <f t="shared" si="3"/>
        <v>15</v>
      </c>
      <c r="AD19" s="5">
        <f t="shared" si="8"/>
        <v>8466</v>
      </c>
      <c r="AE19" s="3">
        <f t="shared" si="9"/>
        <v>0.70892647797688835</v>
      </c>
      <c r="AF19" s="2">
        <f t="shared" si="10"/>
        <v>0</v>
      </c>
      <c r="AG19" s="3">
        <f t="shared" si="11"/>
        <v>0</v>
      </c>
      <c r="AH19" s="2">
        <f t="shared" si="12"/>
        <v>400</v>
      </c>
      <c r="AI19" s="2">
        <f t="shared" si="13"/>
        <v>20</v>
      </c>
      <c r="AJ19" s="3">
        <f t="shared" si="14"/>
        <v>1.6666666666666667</v>
      </c>
      <c r="AK19" s="2">
        <f t="shared" si="4"/>
        <v>187.5</v>
      </c>
      <c r="AL19" s="2">
        <f t="shared" si="5"/>
        <v>1.2</v>
      </c>
      <c r="AM19" s="7">
        <f t="shared" si="15"/>
        <v>2.1333333333333333</v>
      </c>
      <c r="AN19" s="2">
        <f t="shared" si="16"/>
        <v>80</v>
      </c>
      <c r="AO19" s="2">
        <f t="shared" si="17"/>
        <v>4</v>
      </c>
      <c r="AP19" s="2">
        <f t="shared" si="18"/>
        <v>5</v>
      </c>
      <c r="AQ19" s="2">
        <f t="shared" si="19"/>
        <v>240</v>
      </c>
    </row>
    <row r="20" spans="1:43" x14ac:dyDescent="0.3">
      <c r="A20" s="13" t="s">
        <v>59</v>
      </c>
      <c r="B20" s="12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1">
        <v>0</v>
      </c>
      <c r="H20" s="2">
        <v>0</v>
      </c>
      <c r="I20" s="11">
        <v>100</v>
      </c>
      <c r="J20" s="11">
        <v>35</v>
      </c>
      <c r="K20" s="2">
        <v>0</v>
      </c>
      <c r="L20" s="11">
        <v>24</v>
      </c>
      <c r="M20" s="2">
        <v>10200</v>
      </c>
      <c r="N20" s="2">
        <v>0</v>
      </c>
      <c r="O20" s="2">
        <v>0</v>
      </c>
      <c r="P20" s="2">
        <v>0</v>
      </c>
      <c r="Q20" s="11">
        <v>200</v>
      </c>
      <c r="R20" s="11">
        <v>4</v>
      </c>
      <c r="S20" s="2">
        <v>0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6"/>
        <v>15</v>
      </c>
      <c r="Y20" s="2">
        <f t="shared" si="7"/>
        <v>6141.5999999999995</v>
      </c>
      <c r="Z20" s="3">
        <f t="shared" si="0"/>
        <v>0</v>
      </c>
      <c r="AA20" s="2">
        <f t="shared" si="1"/>
        <v>31.28</v>
      </c>
      <c r="AB20" s="6">
        <f t="shared" si="2"/>
        <v>24.36</v>
      </c>
      <c r="AC20" s="2">
        <f t="shared" si="3"/>
        <v>24</v>
      </c>
      <c r="AD20" s="5">
        <f t="shared" si="8"/>
        <v>8466</v>
      </c>
      <c r="AE20" s="3">
        <f t="shared" si="9"/>
        <v>0.70892647797688835</v>
      </c>
      <c r="AF20" s="2">
        <f t="shared" si="10"/>
        <v>0</v>
      </c>
      <c r="AG20" s="3">
        <f t="shared" si="11"/>
        <v>0</v>
      </c>
      <c r="AH20" s="2">
        <f t="shared" si="12"/>
        <v>400</v>
      </c>
      <c r="AI20" s="2">
        <f t="shared" si="13"/>
        <v>20</v>
      </c>
      <c r="AJ20" s="3">
        <f t="shared" si="14"/>
        <v>1.3333333333333333</v>
      </c>
      <c r="AK20" s="2">
        <f t="shared" si="4"/>
        <v>300</v>
      </c>
      <c r="AL20" s="2">
        <f t="shared" si="5"/>
        <v>1.92</v>
      </c>
      <c r="AM20" s="7">
        <f t="shared" si="15"/>
        <v>1.3333333333333333</v>
      </c>
      <c r="AN20" s="2">
        <f t="shared" si="16"/>
        <v>80</v>
      </c>
      <c r="AO20" s="2">
        <f t="shared" si="17"/>
        <v>4</v>
      </c>
      <c r="AP20" s="2">
        <f t="shared" si="18"/>
        <v>5</v>
      </c>
      <c r="AQ20" s="2">
        <f t="shared" si="19"/>
        <v>300</v>
      </c>
    </row>
    <row r="21" spans="1:43" x14ac:dyDescent="0.3">
      <c r="A21" s="13" t="s">
        <v>60</v>
      </c>
      <c r="B21" s="12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1">
        <v>0</v>
      </c>
      <c r="H21" s="2">
        <v>0</v>
      </c>
      <c r="I21" s="11">
        <v>100</v>
      </c>
      <c r="J21" s="11">
        <v>35</v>
      </c>
      <c r="K21" s="2">
        <v>0</v>
      </c>
      <c r="L21" s="11">
        <v>24</v>
      </c>
      <c r="M21" s="2">
        <v>10200</v>
      </c>
      <c r="N21" s="2">
        <v>0</v>
      </c>
      <c r="O21" s="2">
        <v>0</v>
      </c>
      <c r="P21" s="2">
        <v>0</v>
      </c>
      <c r="Q21" s="11">
        <v>200</v>
      </c>
      <c r="R21" s="11">
        <v>4</v>
      </c>
      <c r="S21" s="2">
        <v>0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6"/>
        <v>17</v>
      </c>
      <c r="Y21" s="2">
        <f t="shared" si="7"/>
        <v>6960.4800000000005</v>
      </c>
      <c r="Z21" s="3">
        <f t="shared" si="0"/>
        <v>0</v>
      </c>
      <c r="AA21" s="2">
        <f t="shared" si="1"/>
        <v>31.28</v>
      </c>
      <c r="AB21" s="6">
        <f t="shared" si="2"/>
        <v>24.36</v>
      </c>
      <c r="AC21" s="2">
        <f t="shared" si="3"/>
        <v>24</v>
      </c>
      <c r="AD21" s="5">
        <f t="shared" si="8"/>
        <v>8466</v>
      </c>
      <c r="AE21" s="3">
        <f t="shared" si="9"/>
        <v>0.70892647797688835</v>
      </c>
      <c r="AF21" s="2">
        <f t="shared" si="10"/>
        <v>0</v>
      </c>
      <c r="AG21" s="3">
        <f t="shared" si="11"/>
        <v>0</v>
      </c>
      <c r="AH21" s="2">
        <f t="shared" si="12"/>
        <v>400</v>
      </c>
      <c r="AI21" s="2">
        <f t="shared" si="13"/>
        <v>20</v>
      </c>
      <c r="AJ21" s="3">
        <f t="shared" si="14"/>
        <v>1.1764705882352942</v>
      </c>
      <c r="AK21" s="2">
        <f t="shared" si="4"/>
        <v>300</v>
      </c>
      <c r="AL21" s="2">
        <f t="shared" si="5"/>
        <v>1.92</v>
      </c>
      <c r="AM21" s="7">
        <f t="shared" si="15"/>
        <v>1.3333333333333333</v>
      </c>
      <c r="AN21" s="2">
        <f t="shared" si="16"/>
        <v>80</v>
      </c>
      <c r="AO21" s="2">
        <f t="shared" si="17"/>
        <v>4</v>
      </c>
      <c r="AP21" s="2">
        <f t="shared" si="18"/>
        <v>5</v>
      </c>
      <c r="AQ21" s="2">
        <f t="shared" si="19"/>
        <v>340</v>
      </c>
    </row>
    <row r="22" spans="1:43" x14ac:dyDescent="0.3">
      <c r="A22" s="13" t="s">
        <v>61</v>
      </c>
      <c r="B22" s="12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1">
        <v>0</v>
      </c>
      <c r="H22" s="2">
        <v>0</v>
      </c>
      <c r="I22" s="11">
        <v>100</v>
      </c>
      <c r="J22" s="11">
        <v>25</v>
      </c>
      <c r="K22" s="2">
        <v>0</v>
      </c>
      <c r="L22" s="11">
        <v>15</v>
      </c>
      <c r="M22" s="2">
        <v>10200</v>
      </c>
      <c r="N22" s="2">
        <v>0</v>
      </c>
      <c r="O22" s="2">
        <v>0</v>
      </c>
      <c r="P22" s="2">
        <v>0</v>
      </c>
      <c r="Q22" s="11">
        <v>200</v>
      </c>
      <c r="R22" s="11">
        <v>4</v>
      </c>
      <c r="S22" s="2">
        <v>0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6"/>
        <v>12</v>
      </c>
      <c r="Y22" s="2">
        <f t="shared" si="7"/>
        <v>4913.28</v>
      </c>
      <c r="Z22" s="3">
        <f t="shared" si="0"/>
        <v>0</v>
      </c>
      <c r="AA22" s="2">
        <f t="shared" si="1"/>
        <v>31.28</v>
      </c>
      <c r="AB22" s="6">
        <f t="shared" si="2"/>
        <v>17.399999999999999</v>
      </c>
      <c r="AC22" s="2">
        <f t="shared" si="3"/>
        <v>15</v>
      </c>
      <c r="AD22" s="5">
        <f t="shared" si="8"/>
        <v>8466</v>
      </c>
      <c r="AE22" s="3">
        <f t="shared" si="9"/>
        <v>0.70892647797688835</v>
      </c>
      <c r="AF22" s="2">
        <f t="shared" si="10"/>
        <v>0</v>
      </c>
      <c r="AG22" s="3">
        <f t="shared" si="11"/>
        <v>0</v>
      </c>
      <c r="AH22" s="2">
        <f t="shared" si="12"/>
        <v>400</v>
      </c>
      <c r="AI22" s="2">
        <f t="shared" si="13"/>
        <v>20</v>
      </c>
      <c r="AJ22" s="3">
        <f t="shared" si="14"/>
        <v>1.6666666666666667</v>
      </c>
      <c r="AK22" s="2">
        <f t="shared" si="4"/>
        <v>187.5</v>
      </c>
      <c r="AL22" s="2">
        <f t="shared" si="5"/>
        <v>1.2</v>
      </c>
      <c r="AM22" s="7">
        <f t="shared" si="15"/>
        <v>2.1333333333333333</v>
      </c>
      <c r="AN22" s="2">
        <f t="shared" si="16"/>
        <v>80</v>
      </c>
      <c r="AO22" s="2">
        <f t="shared" si="17"/>
        <v>4</v>
      </c>
      <c r="AP22" s="2">
        <f t="shared" si="18"/>
        <v>5</v>
      </c>
      <c r="AQ22" s="2">
        <f t="shared" si="19"/>
        <v>240</v>
      </c>
    </row>
    <row r="23" spans="1:43" x14ac:dyDescent="0.3">
      <c r="A23" s="13" t="s">
        <v>62</v>
      </c>
      <c r="B23" s="12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1">
        <v>0</v>
      </c>
      <c r="H23" s="2">
        <v>0</v>
      </c>
      <c r="I23" s="11">
        <v>100</v>
      </c>
      <c r="J23" s="11">
        <v>25</v>
      </c>
      <c r="K23" s="2">
        <v>0</v>
      </c>
      <c r="L23" s="11">
        <v>18</v>
      </c>
      <c r="M23" s="2">
        <v>10200</v>
      </c>
      <c r="N23" s="2">
        <v>0</v>
      </c>
      <c r="O23" s="2">
        <v>0</v>
      </c>
      <c r="P23" s="2">
        <v>0</v>
      </c>
      <c r="Q23" s="11">
        <v>200</v>
      </c>
      <c r="R23" s="11">
        <v>4</v>
      </c>
      <c r="S23" s="2">
        <v>0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6"/>
        <v>12</v>
      </c>
      <c r="Y23" s="2">
        <f t="shared" si="7"/>
        <v>4913.28</v>
      </c>
      <c r="Z23" s="3">
        <f t="shared" si="0"/>
        <v>0</v>
      </c>
      <c r="AA23" s="2">
        <f t="shared" si="1"/>
        <v>31.28</v>
      </c>
      <c r="AB23" s="6">
        <f t="shared" si="2"/>
        <v>17.399999999999999</v>
      </c>
      <c r="AC23" s="2">
        <f t="shared" si="3"/>
        <v>18</v>
      </c>
      <c r="AD23" s="5">
        <f t="shared" si="8"/>
        <v>8466</v>
      </c>
      <c r="AE23" s="3">
        <f t="shared" si="9"/>
        <v>0.70892647797688835</v>
      </c>
      <c r="AF23" s="2">
        <f t="shared" si="10"/>
        <v>0</v>
      </c>
      <c r="AG23" s="3">
        <f t="shared" si="11"/>
        <v>0</v>
      </c>
      <c r="AH23" s="2">
        <f t="shared" si="12"/>
        <v>400</v>
      </c>
      <c r="AI23" s="2">
        <f t="shared" si="13"/>
        <v>20</v>
      </c>
      <c r="AJ23" s="3">
        <f t="shared" si="14"/>
        <v>1.6666666666666667</v>
      </c>
      <c r="AK23" s="2">
        <f t="shared" si="4"/>
        <v>225</v>
      </c>
      <c r="AL23" s="2">
        <f t="shared" si="5"/>
        <v>1.44</v>
      </c>
      <c r="AM23" s="7">
        <f t="shared" si="15"/>
        <v>1.7777777777777777</v>
      </c>
      <c r="AN23" s="2">
        <f t="shared" si="16"/>
        <v>80</v>
      </c>
      <c r="AO23" s="2">
        <f t="shared" si="17"/>
        <v>4</v>
      </c>
      <c r="AP23" s="2">
        <f t="shared" si="18"/>
        <v>5</v>
      </c>
      <c r="AQ23" s="2">
        <f t="shared" si="19"/>
        <v>240</v>
      </c>
    </row>
    <row r="24" spans="1:43" x14ac:dyDescent="0.3">
      <c r="A24" s="13" t="s">
        <v>63</v>
      </c>
      <c r="B24" s="12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1">
        <v>0</v>
      </c>
      <c r="H24" s="2">
        <v>0</v>
      </c>
      <c r="I24" s="11">
        <v>100</v>
      </c>
      <c r="J24" s="11">
        <v>35</v>
      </c>
      <c r="K24" s="2">
        <v>0</v>
      </c>
      <c r="L24" s="11">
        <v>21</v>
      </c>
      <c r="M24" s="2">
        <v>10200</v>
      </c>
      <c r="N24" s="2">
        <v>0</v>
      </c>
      <c r="O24" s="2">
        <v>0</v>
      </c>
      <c r="P24" s="2">
        <v>0</v>
      </c>
      <c r="Q24" s="11">
        <v>200</v>
      </c>
      <c r="R24" s="11">
        <v>4</v>
      </c>
      <c r="S24" s="2">
        <v>0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6"/>
        <v>15</v>
      </c>
      <c r="Y24" s="2">
        <f t="shared" si="7"/>
        <v>6141.5999999999995</v>
      </c>
      <c r="Z24" s="3">
        <f t="shared" si="0"/>
        <v>0</v>
      </c>
      <c r="AA24" s="2">
        <f t="shared" si="1"/>
        <v>31.28</v>
      </c>
      <c r="AB24" s="6">
        <f t="shared" si="2"/>
        <v>24.36</v>
      </c>
      <c r="AC24" s="2">
        <f t="shared" si="3"/>
        <v>21</v>
      </c>
      <c r="AD24" s="5">
        <f t="shared" si="8"/>
        <v>8466</v>
      </c>
      <c r="AE24" s="3">
        <f t="shared" si="9"/>
        <v>0.70892647797688835</v>
      </c>
      <c r="AF24" s="2">
        <f t="shared" si="10"/>
        <v>0</v>
      </c>
      <c r="AG24" s="3">
        <f t="shared" si="11"/>
        <v>0</v>
      </c>
      <c r="AH24" s="2">
        <f t="shared" si="12"/>
        <v>400</v>
      </c>
      <c r="AI24" s="2">
        <f t="shared" si="13"/>
        <v>20</v>
      </c>
      <c r="AJ24" s="3">
        <f t="shared" si="14"/>
        <v>1.3333333333333333</v>
      </c>
      <c r="AK24" s="2">
        <f t="shared" si="4"/>
        <v>262.5</v>
      </c>
      <c r="AL24" s="2">
        <f t="shared" si="5"/>
        <v>1.68</v>
      </c>
      <c r="AM24" s="7">
        <f t="shared" si="15"/>
        <v>1.5238095238095237</v>
      </c>
      <c r="AN24" s="2">
        <f t="shared" si="16"/>
        <v>80</v>
      </c>
      <c r="AO24" s="2">
        <f t="shared" si="17"/>
        <v>4</v>
      </c>
      <c r="AP24" s="2">
        <f t="shared" si="18"/>
        <v>5</v>
      </c>
      <c r="AQ24" s="2">
        <f t="shared" si="19"/>
        <v>300</v>
      </c>
    </row>
    <row r="25" spans="1:43" x14ac:dyDescent="0.3">
      <c r="A25" s="13" t="s">
        <v>64</v>
      </c>
      <c r="B25" s="12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1">
        <v>0</v>
      </c>
      <c r="H25" s="2">
        <v>0</v>
      </c>
      <c r="I25" s="11">
        <v>60</v>
      </c>
      <c r="J25" s="11">
        <v>25</v>
      </c>
      <c r="K25" s="2">
        <v>0</v>
      </c>
      <c r="L25" s="11">
        <v>15</v>
      </c>
      <c r="M25" s="2">
        <v>10200</v>
      </c>
      <c r="N25" s="2">
        <v>0</v>
      </c>
      <c r="O25" s="2">
        <v>0</v>
      </c>
      <c r="P25" s="2">
        <v>0</v>
      </c>
      <c r="Q25" s="11">
        <v>190</v>
      </c>
      <c r="R25" s="11">
        <v>4</v>
      </c>
      <c r="S25" s="2">
        <v>0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6"/>
        <v>12</v>
      </c>
      <c r="Y25" s="2">
        <f t="shared" si="7"/>
        <v>4913.28</v>
      </c>
      <c r="Z25" s="3">
        <f t="shared" si="0"/>
        <v>0</v>
      </c>
      <c r="AA25" s="2">
        <f t="shared" si="1"/>
        <v>18.768000000000004</v>
      </c>
      <c r="AB25" s="6">
        <f t="shared" si="2"/>
        <v>17.399999999999999</v>
      </c>
      <c r="AC25" s="2">
        <f t="shared" si="3"/>
        <v>15</v>
      </c>
      <c r="AD25" s="5">
        <f t="shared" si="8"/>
        <v>8466</v>
      </c>
      <c r="AE25" s="3">
        <f t="shared" si="9"/>
        <v>0.70892647797688835</v>
      </c>
      <c r="AF25" s="2">
        <f t="shared" si="10"/>
        <v>0</v>
      </c>
      <c r="AG25" s="3">
        <f t="shared" si="11"/>
        <v>0</v>
      </c>
      <c r="AH25" s="2">
        <f t="shared" si="12"/>
        <v>380</v>
      </c>
      <c r="AI25" s="2">
        <f t="shared" si="13"/>
        <v>19</v>
      </c>
      <c r="AJ25" s="3">
        <f t="shared" si="14"/>
        <v>1.5833333333333333</v>
      </c>
      <c r="AK25" s="2">
        <f t="shared" si="4"/>
        <v>187.5</v>
      </c>
      <c r="AL25" s="2">
        <f t="shared" si="5"/>
        <v>1.2</v>
      </c>
      <c r="AM25" s="7">
        <f t="shared" si="15"/>
        <v>2.0266666666666668</v>
      </c>
      <c r="AN25" s="2">
        <f t="shared" si="16"/>
        <v>76</v>
      </c>
      <c r="AO25" s="2">
        <f t="shared" si="17"/>
        <v>3.8</v>
      </c>
      <c r="AP25" s="2">
        <f t="shared" si="18"/>
        <v>5</v>
      </c>
      <c r="AQ25" s="2">
        <f t="shared" si="19"/>
        <v>240</v>
      </c>
    </row>
    <row r="26" spans="1:43" x14ac:dyDescent="0.3">
      <c r="A26" s="13" t="s">
        <v>65</v>
      </c>
      <c r="B26" s="12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1">
        <v>0</v>
      </c>
      <c r="H26" s="2">
        <v>0</v>
      </c>
      <c r="I26" s="11">
        <v>100</v>
      </c>
      <c r="J26" s="11">
        <v>45</v>
      </c>
      <c r="K26" s="2">
        <v>0</v>
      </c>
      <c r="L26" s="11">
        <v>21</v>
      </c>
      <c r="M26" s="2">
        <v>10200</v>
      </c>
      <c r="N26" s="2">
        <v>0</v>
      </c>
      <c r="O26" s="2">
        <v>0</v>
      </c>
      <c r="P26" s="2">
        <v>0</v>
      </c>
      <c r="Q26" s="11">
        <v>200</v>
      </c>
      <c r="R26" s="11">
        <v>4</v>
      </c>
      <c r="S26" s="2">
        <v>0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6"/>
        <v>12</v>
      </c>
      <c r="Y26" s="2">
        <f t="shared" si="7"/>
        <v>4913.28</v>
      </c>
      <c r="Z26" s="3">
        <f t="shared" si="0"/>
        <v>0</v>
      </c>
      <c r="AA26" s="2">
        <f t="shared" si="1"/>
        <v>31.28</v>
      </c>
      <c r="AB26" s="6">
        <f t="shared" si="2"/>
        <v>31.32</v>
      </c>
      <c r="AC26" s="2">
        <f t="shared" si="3"/>
        <v>21</v>
      </c>
      <c r="AD26" s="5">
        <f t="shared" si="8"/>
        <v>8466</v>
      </c>
      <c r="AE26" s="3">
        <f t="shared" si="9"/>
        <v>0.70892647797688835</v>
      </c>
      <c r="AF26" s="2">
        <f t="shared" si="10"/>
        <v>0</v>
      </c>
      <c r="AG26" s="3">
        <f t="shared" si="11"/>
        <v>0</v>
      </c>
      <c r="AH26" s="2">
        <f t="shared" si="12"/>
        <v>400</v>
      </c>
      <c r="AI26" s="2">
        <f t="shared" si="13"/>
        <v>20</v>
      </c>
      <c r="AJ26" s="3">
        <f t="shared" si="14"/>
        <v>1.6666666666666667</v>
      </c>
      <c r="AK26" s="2">
        <f t="shared" si="4"/>
        <v>262.5</v>
      </c>
      <c r="AL26" s="2">
        <f t="shared" si="5"/>
        <v>1.68</v>
      </c>
      <c r="AM26" s="7">
        <f t="shared" si="15"/>
        <v>1.5238095238095237</v>
      </c>
      <c r="AN26" s="2">
        <f t="shared" si="16"/>
        <v>80</v>
      </c>
      <c r="AO26" s="2">
        <f t="shared" si="17"/>
        <v>4</v>
      </c>
      <c r="AP26" s="2">
        <f t="shared" si="18"/>
        <v>5</v>
      </c>
      <c r="AQ26" s="2">
        <f t="shared" si="19"/>
        <v>240</v>
      </c>
    </row>
    <row r="27" spans="1:43" x14ac:dyDescent="0.3">
      <c r="A27" s="13" t="s">
        <v>66</v>
      </c>
      <c r="B27" s="12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1">
        <v>0</v>
      </c>
      <c r="H27" s="2">
        <v>0</v>
      </c>
      <c r="I27" s="11">
        <v>100</v>
      </c>
      <c r="J27" s="11">
        <v>25</v>
      </c>
      <c r="K27" s="2">
        <v>0</v>
      </c>
      <c r="L27" s="11">
        <v>18</v>
      </c>
      <c r="M27" s="2">
        <v>10200</v>
      </c>
      <c r="N27" s="2">
        <v>0</v>
      </c>
      <c r="O27" s="2">
        <v>0</v>
      </c>
      <c r="P27" s="2">
        <v>0</v>
      </c>
      <c r="Q27" s="11">
        <v>190</v>
      </c>
      <c r="R27" s="11">
        <v>4</v>
      </c>
      <c r="S27" s="2">
        <v>0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6"/>
        <v>12</v>
      </c>
      <c r="Y27" s="2">
        <f t="shared" si="7"/>
        <v>4913.28</v>
      </c>
      <c r="Z27" s="3">
        <f t="shared" si="0"/>
        <v>0</v>
      </c>
      <c r="AA27" s="2">
        <f t="shared" si="1"/>
        <v>31.28</v>
      </c>
      <c r="AB27" s="6">
        <f t="shared" si="2"/>
        <v>17.399999999999999</v>
      </c>
      <c r="AC27" s="2">
        <f t="shared" si="3"/>
        <v>18</v>
      </c>
      <c r="AD27" s="5">
        <f t="shared" si="8"/>
        <v>8466</v>
      </c>
      <c r="AE27" s="3">
        <f t="shared" si="9"/>
        <v>0.70892647797688835</v>
      </c>
      <c r="AF27" s="2">
        <f t="shared" si="10"/>
        <v>0</v>
      </c>
      <c r="AG27" s="3">
        <f t="shared" si="11"/>
        <v>0</v>
      </c>
      <c r="AH27" s="2">
        <f t="shared" si="12"/>
        <v>380</v>
      </c>
      <c r="AI27" s="2">
        <f t="shared" si="13"/>
        <v>19</v>
      </c>
      <c r="AJ27" s="3">
        <f t="shared" si="14"/>
        <v>1.5833333333333333</v>
      </c>
      <c r="AK27" s="2">
        <f t="shared" si="4"/>
        <v>225</v>
      </c>
      <c r="AL27" s="2">
        <f t="shared" si="5"/>
        <v>1.44</v>
      </c>
      <c r="AM27" s="7">
        <f t="shared" si="15"/>
        <v>1.6888888888888889</v>
      </c>
      <c r="AN27" s="2">
        <f t="shared" si="16"/>
        <v>76</v>
      </c>
      <c r="AO27" s="2">
        <f t="shared" si="17"/>
        <v>3.8</v>
      </c>
      <c r="AP27" s="2">
        <f t="shared" si="18"/>
        <v>5</v>
      </c>
      <c r="AQ27" s="2">
        <f t="shared" si="19"/>
        <v>240</v>
      </c>
    </row>
    <row r="28" spans="1:43" x14ac:dyDescent="0.3">
      <c r="A28" s="13" t="s">
        <v>67</v>
      </c>
      <c r="B28" s="12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1">
        <v>0</v>
      </c>
      <c r="H28" s="2">
        <v>0</v>
      </c>
      <c r="I28" s="11">
        <v>100</v>
      </c>
      <c r="J28" s="11">
        <v>30</v>
      </c>
      <c r="K28" s="2">
        <v>0</v>
      </c>
      <c r="L28" s="11">
        <v>18</v>
      </c>
      <c r="M28" s="2">
        <v>10200</v>
      </c>
      <c r="N28" s="2">
        <v>0</v>
      </c>
      <c r="O28" s="2">
        <v>0</v>
      </c>
      <c r="P28" s="2">
        <v>0</v>
      </c>
      <c r="Q28" s="11">
        <v>190</v>
      </c>
      <c r="R28" s="11">
        <v>4</v>
      </c>
      <c r="S28" s="2">
        <v>0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6"/>
        <v>15</v>
      </c>
      <c r="Y28" s="2">
        <f t="shared" si="7"/>
        <v>6141.5999999999995</v>
      </c>
      <c r="Z28" s="3">
        <f t="shared" si="0"/>
        <v>0</v>
      </c>
      <c r="AA28" s="2">
        <f t="shared" si="1"/>
        <v>31.28</v>
      </c>
      <c r="AB28" s="6">
        <f t="shared" si="2"/>
        <v>20.88</v>
      </c>
      <c r="AC28" s="2">
        <f t="shared" si="3"/>
        <v>18</v>
      </c>
      <c r="AD28" s="5">
        <f t="shared" si="8"/>
        <v>8466</v>
      </c>
      <c r="AE28" s="3">
        <f t="shared" si="9"/>
        <v>0.70892647797688835</v>
      </c>
      <c r="AF28" s="2">
        <f t="shared" si="10"/>
        <v>0</v>
      </c>
      <c r="AG28" s="3">
        <f t="shared" si="11"/>
        <v>0</v>
      </c>
      <c r="AH28" s="2">
        <f t="shared" si="12"/>
        <v>380</v>
      </c>
      <c r="AI28" s="2">
        <f t="shared" si="13"/>
        <v>19</v>
      </c>
      <c r="AJ28" s="3">
        <f t="shared" si="14"/>
        <v>1.2666666666666666</v>
      </c>
      <c r="AK28" s="2">
        <f t="shared" si="4"/>
        <v>225</v>
      </c>
      <c r="AL28" s="2">
        <f t="shared" si="5"/>
        <v>1.44</v>
      </c>
      <c r="AM28" s="7">
        <f t="shared" si="15"/>
        <v>1.6888888888888889</v>
      </c>
      <c r="AN28" s="2">
        <f t="shared" si="16"/>
        <v>76</v>
      </c>
      <c r="AO28" s="2">
        <f t="shared" si="17"/>
        <v>3.8</v>
      </c>
      <c r="AP28" s="2">
        <f t="shared" si="18"/>
        <v>5</v>
      </c>
      <c r="AQ28" s="2">
        <f t="shared" si="19"/>
        <v>300</v>
      </c>
    </row>
    <row r="29" spans="1:43" x14ac:dyDescent="0.3">
      <c r="A29" s="13" t="s">
        <v>68</v>
      </c>
      <c r="B29" s="12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1">
        <v>0</v>
      </c>
      <c r="H29" s="2">
        <v>0</v>
      </c>
      <c r="I29" s="11">
        <v>100</v>
      </c>
      <c r="J29" s="11">
        <v>35</v>
      </c>
      <c r="K29" s="2">
        <v>0</v>
      </c>
      <c r="L29" s="11">
        <v>18</v>
      </c>
      <c r="M29" s="2">
        <v>10200</v>
      </c>
      <c r="N29" s="2">
        <v>0</v>
      </c>
      <c r="O29" s="2">
        <v>0</v>
      </c>
      <c r="P29" s="2">
        <v>0</v>
      </c>
      <c r="Q29" s="11">
        <v>190</v>
      </c>
      <c r="R29" s="11">
        <v>4</v>
      </c>
      <c r="S29" s="2">
        <v>0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6"/>
        <v>17</v>
      </c>
      <c r="Y29" s="2">
        <f t="shared" si="7"/>
        <v>6960.4800000000005</v>
      </c>
      <c r="Z29" s="3">
        <f t="shared" si="0"/>
        <v>0</v>
      </c>
      <c r="AA29" s="2">
        <f t="shared" si="1"/>
        <v>31.28</v>
      </c>
      <c r="AB29" s="6">
        <f t="shared" si="2"/>
        <v>24.36</v>
      </c>
      <c r="AC29" s="2">
        <f t="shared" si="3"/>
        <v>18</v>
      </c>
      <c r="AD29" s="5">
        <f t="shared" si="8"/>
        <v>8466</v>
      </c>
      <c r="AE29" s="3">
        <f t="shared" si="9"/>
        <v>0.70892647797688835</v>
      </c>
      <c r="AF29" s="2">
        <f t="shared" si="10"/>
        <v>0</v>
      </c>
      <c r="AG29" s="3">
        <f t="shared" si="11"/>
        <v>0</v>
      </c>
      <c r="AH29" s="2">
        <f t="shared" si="12"/>
        <v>380</v>
      </c>
      <c r="AI29" s="2">
        <f t="shared" si="13"/>
        <v>19</v>
      </c>
      <c r="AJ29" s="3">
        <f t="shared" si="14"/>
        <v>1.1176470588235294</v>
      </c>
      <c r="AK29" s="2">
        <f t="shared" si="4"/>
        <v>225</v>
      </c>
      <c r="AL29" s="2">
        <f t="shared" si="5"/>
        <v>1.44</v>
      </c>
      <c r="AM29" s="7">
        <f t="shared" si="15"/>
        <v>1.6888888888888889</v>
      </c>
      <c r="AN29" s="2">
        <f t="shared" si="16"/>
        <v>76</v>
      </c>
      <c r="AO29" s="2">
        <f t="shared" si="17"/>
        <v>3.8</v>
      </c>
      <c r="AP29" s="2">
        <f t="shared" si="18"/>
        <v>5</v>
      </c>
      <c r="AQ29" s="2">
        <f t="shared" si="19"/>
        <v>340</v>
      </c>
    </row>
    <row r="30" spans="1:43" x14ac:dyDescent="0.3">
      <c r="A30" s="13" t="s">
        <v>69</v>
      </c>
      <c r="B30" s="12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1">
        <v>0</v>
      </c>
      <c r="H30" s="2">
        <v>0</v>
      </c>
      <c r="I30" s="11">
        <v>100</v>
      </c>
      <c r="J30" s="11">
        <v>45</v>
      </c>
      <c r="K30" s="2">
        <v>0</v>
      </c>
      <c r="L30" s="11">
        <v>18</v>
      </c>
      <c r="M30" s="2">
        <v>10200</v>
      </c>
      <c r="N30" s="2">
        <v>0</v>
      </c>
      <c r="O30" s="2">
        <v>0</v>
      </c>
      <c r="P30" s="2">
        <v>0</v>
      </c>
      <c r="Q30" s="11">
        <v>200</v>
      </c>
      <c r="R30" s="11">
        <v>4</v>
      </c>
      <c r="S30" s="2">
        <v>0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6"/>
        <v>15</v>
      </c>
      <c r="Y30" s="2">
        <f t="shared" si="7"/>
        <v>6141.5999999999995</v>
      </c>
      <c r="Z30" s="3">
        <f t="shared" si="0"/>
        <v>0</v>
      </c>
      <c r="AA30" s="2">
        <f t="shared" si="1"/>
        <v>31.28</v>
      </c>
      <c r="AB30" s="6">
        <f t="shared" si="2"/>
        <v>31.32</v>
      </c>
      <c r="AC30" s="2">
        <f t="shared" si="3"/>
        <v>18</v>
      </c>
      <c r="AD30" s="5">
        <f t="shared" si="8"/>
        <v>8466</v>
      </c>
      <c r="AE30" s="3">
        <f t="shared" si="9"/>
        <v>0.70892647797688835</v>
      </c>
      <c r="AF30" s="2">
        <f t="shared" si="10"/>
        <v>0</v>
      </c>
      <c r="AG30" s="3">
        <f t="shared" si="11"/>
        <v>0</v>
      </c>
      <c r="AH30" s="2">
        <f t="shared" si="12"/>
        <v>400</v>
      </c>
      <c r="AI30" s="2">
        <f t="shared" si="13"/>
        <v>20</v>
      </c>
      <c r="AJ30" s="3">
        <f t="shared" si="14"/>
        <v>1.3333333333333333</v>
      </c>
      <c r="AK30" s="2">
        <f t="shared" si="4"/>
        <v>225</v>
      </c>
      <c r="AL30" s="2">
        <f t="shared" si="5"/>
        <v>1.44</v>
      </c>
      <c r="AM30" s="7">
        <f t="shared" si="15"/>
        <v>1.7777777777777777</v>
      </c>
      <c r="AN30" s="2">
        <f t="shared" si="16"/>
        <v>80</v>
      </c>
      <c r="AO30" s="2">
        <f t="shared" si="17"/>
        <v>4</v>
      </c>
      <c r="AP30" s="2">
        <f t="shared" si="18"/>
        <v>5</v>
      </c>
      <c r="AQ30" s="2">
        <f>X30*1000/50</f>
        <v>300</v>
      </c>
    </row>
    <row r="31" spans="1:43" x14ac:dyDescent="0.3">
      <c r="A31" s="14" t="s">
        <v>77</v>
      </c>
      <c r="B31" s="11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1">
        <v>0</v>
      </c>
      <c r="H31" s="2">
        <v>0</v>
      </c>
      <c r="I31" s="12">
        <v>100</v>
      </c>
      <c r="J31" s="11">
        <v>45</v>
      </c>
      <c r="K31" s="2">
        <v>0</v>
      </c>
      <c r="L31" s="11">
        <v>16</v>
      </c>
      <c r="M31" s="2">
        <v>48000</v>
      </c>
      <c r="N31" s="2">
        <v>0</v>
      </c>
      <c r="O31" s="2">
        <v>48000</v>
      </c>
      <c r="P31" s="2">
        <v>0</v>
      </c>
      <c r="Q31" s="11">
        <v>190</v>
      </c>
      <c r="R31" s="11">
        <v>5</v>
      </c>
      <c r="S31" s="2">
        <v>0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7"/>
        <v>6141.6000000000022</v>
      </c>
      <c r="Z31" s="3">
        <f t="shared" si="0"/>
        <v>0</v>
      </c>
      <c r="AA31" s="2">
        <f t="shared" si="1"/>
        <v>31.28</v>
      </c>
      <c r="AB31" s="6">
        <f t="shared" si="2"/>
        <v>31.32</v>
      </c>
      <c r="AC31" s="2">
        <f t="shared" si="3"/>
        <v>16</v>
      </c>
      <c r="AD31" s="5">
        <f t="shared" si="8"/>
        <v>39840</v>
      </c>
      <c r="AE31" s="3">
        <f t="shared" si="9"/>
        <v>3.3361246022441802</v>
      </c>
      <c r="AF31" s="2">
        <f t="shared" si="10"/>
        <v>39840</v>
      </c>
      <c r="AG31" s="3">
        <f t="shared" si="11"/>
        <v>3.3361246022441802</v>
      </c>
      <c r="AH31" s="2">
        <f t="shared" si="12"/>
        <v>475</v>
      </c>
      <c r="AI31" s="2">
        <f t="shared" si="13"/>
        <v>23.75</v>
      </c>
      <c r="AJ31" s="3">
        <f t="shared" si="14"/>
        <v>1.5833333333333333</v>
      </c>
      <c r="AK31" s="2">
        <f t="shared" si="4"/>
        <v>200</v>
      </c>
      <c r="AL31" s="2">
        <f t="shared" si="5"/>
        <v>1.28</v>
      </c>
      <c r="AM31" s="7">
        <f t="shared" si="15"/>
        <v>2.375</v>
      </c>
      <c r="AN31" s="2">
        <f t="shared" si="16"/>
        <v>95</v>
      </c>
      <c r="AO31" s="2">
        <f t="shared" si="17"/>
        <v>4.75</v>
      </c>
      <c r="AP31" s="2">
        <f t="shared" si="18"/>
        <v>5</v>
      </c>
      <c r="AQ31" s="2">
        <f t="shared" ref="AQ31:AQ54" si="20">X31*1000/50</f>
        <v>300</v>
      </c>
    </row>
    <row r="32" spans="1:43" x14ac:dyDescent="0.3">
      <c r="A32" s="16" t="s">
        <v>78</v>
      </c>
      <c r="B32" s="11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1">
        <v>35</v>
      </c>
      <c r="H32" s="2">
        <v>0</v>
      </c>
      <c r="I32" s="12">
        <v>0</v>
      </c>
      <c r="J32" s="11">
        <v>0</v>
      </c>
      <c r="K32" s="2">
        <v>0</v>
      </c>
      <c r="L32" s="11">
        <v>19.2</v>
      </c>
      <c r="M32" s="2">
        <v>48000</v>
      </c>
      <c r="N32" s="2">
        <v>0</v>
      </c>
      <c r="O32" s="2">
        <v>48000</v>
      </c>
      <c r="P32" s="2">
        <v>0</v>
      </c>
      <c r="Q32" s="11">
        <v>200</v>
      </c>
      <c r="R32" s="11">
        <v>2</v>
      </c>
      <c r="S32" s="2">
        <v>0</v>
      </c>
      <c r="T32" s="2">
        <v>0.5</v>
      </c>
      <c r="U32" s="2">
        <v>0.8</v>
      </c>
      <c r="V32" s="1">
        <v>13.2</v>
      </c>
      <c r="W32" s="2">
        <f t="shared" ref="W32:W54" si="21">X32-V32</f>
        <v>1.8000000000000007</v>
      </c>
      <c r="X32" s="1">
        <v>15</v>
      </c>
      <c r="Y32" s="2">
        <f t="shared" si="7"/>
        <v>6141.6000000000022</v>
      </c>
      <c r="Z32" s="3">
        <f t="shared" si="0"/>
        <v>24.36</v>
      </c>
      <c r="AA32" s="2">
        <f t="shared" si="1"/>
        <v>0</v>
      </c>
      <c r="AB32" s="6">
        <f t="shared" si="2"/>
        <v>0</v>
      </c>
      <c r="AC32" s="2">
        <f t="shared" si="3"/>
        <v>19.2</v>
      </c>
      <c r="AD32" s="5">
        <f t="shared" si="8"/>
        <v>39840</v>
      </c>
      <c r="AE32" s="3">
        <f t="shared" si="9"/>
        <v>3.3361246022441802</v>
      </c>
      <c r="AF32" s="2">
        <f t="shared" si="10"/>
        <v>39840</v>
      </c>
      <c r="AG32" s="3">
        <f t="shared" si="11"/>
        <v>3.3361246022441802</v>
      </c>
      <c r="AH32" s="2">
        <f t="shared" si="12"/>
        <v>200</v>
      </c>
      <c r="AI32" s="2">
        <f t="shared" si="13"/>
        <v>10</v>
      </c>
      <c r="AJ32" s="3">
        <f t="shared" si="14"/>
        <v>0.66666666666666663</v>
      </c>
      <c r="AK32" s="2">
        <f t="shared" si="4"/>
        <v>240</v>
      </c>
      <c r="AL32" s="2">
        <f t="shared" si="5"/>
        <v>1.536</v>
      </c>
      <c r="AM32" s="7">
        <f t="shared" si="15"/>
        <v>0.83333333333333337</v>
      </c>
      <c r="AN32" s="2">
        <f t="shared" si="16"/>
        <v>40</v>
      </c>
      <c r="AO32" s="2">
        <f t="shared" si="17"/>
        <v>2</v>
      </c>
      <c r="AP32" s="2">
        <f t="shared" si="18"/>
        <v>5</v>
      </c>
      <c r="AQ32" s="2">
        <f t="shared" si="20"/>
        <v>300</v>
      </c>
    </row>
    <row r="33" spans="1:43" x14ac:dyDescent="0.3">
      <c r="A33" s="16" t="s">
        <v>79</v>
      </c>
      <c r="B33" s="11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1">
        <v>25</v>
      </c>
      <c r="H33" s="2">
        <v>0</v>
      </c>
      <c r="I33" s="12">
        <v>0</v>
      </c>
      <c r="J33" s="11">
        <v>0</v>
      </c>
      <c r="K33" s="2">
        <v>0</v>
      </c>
      <c r="L33" s="11">
        <v>16</v>
      </c>
      <c r="M33" s="2">
        <v>36000</v>
      </c>
      <c r="N33" s="2">
        <v>0</v>
      </c>
      <c r="O33" s="2">
        <v>36000</v>
      </c>
      <c r="P33" s="2">
        <v>0</v>
      </c>
      <c r="Q33" s="11">
        <v>200</v>
      </c>
      <c r="R33" s="11">
        <v>3</v>
      </c>
      <c r="S33" s="2">
        <v>0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7"/>
        <v>4913.2799999999979</v>
      </c>
      <c r="Z33" s="3">
        <f t="shared" si="0"/>
        <v>17.399999999999999</v>
      </c>
      <c r="AA33" s="2">
        <f t="shared" si="1"/>
        <v>0</v>
      </c>
      <c r="AB33" s="6">
        <f t="shared" si="2"/>
        <v>0</v>
      </c>
      <c r="AC33" s="2">
        <f t="shared" si="3"/>
        <v>16</v>
      </c>
      <c r="AD33" s="5">
        <f t="shared" si="8"/>
        <v>29880</v>
      </c>
      <c r="AE33" s="3">
        <f t="shared" si="9"/>
        <v>2.5020934516831352</v>
      </c>
      <c r="AF33" s="2">
        <f t="shared" si="10"/>
        <v>29880</v>
      </c>
      <c r="AG33" s="3">
        <f t="shared" si="11"/>
        <v>2.5020934516831352</v>
      </c>
      <c r="AH33" s="2">
        <f t="shared" si="12"/>
        <v>300</v>
      </c>
      <c r="AI33" s="2">
        <f t="shared" si="13"/>
        <v>15</v>
      </c>
      <c r="AJ33" s="3">
        <f t="shared" si="14"/>
        <v>1.25</v>
      </c>
      <c r="AK33" s="2">
        <f t="shared" si="4"/>
        <v>200</v>
      </c>
      <c r="AL33" s="2">
        <f t="shared" si="5"/>
        <v>1.28</v>
      </c>
      <c r="AM33" s="7">
        <f t="shared" si="15"/>
        <v>1.5</v>
      </c>
      <c r="AN33" s="2">
        <f t="shared" si="16"/>
        <v>60</v>
      </c>
      <c r="AO33" s="2">
        <f t="shared" si="17"/>
        <v>3</v>
      </c>
      <c r="AP33" s="2">
        <f t="shared" si="18"/>
        <v>5</v>
      </c>
      <c r="AQ33" s="2">
        <f t="shared" si="20"/>
        <v>240</v>
      </c>
    </row>
    <row r="34" spans="1:43" x14ac:dyDescent="0.3">
      <c r="A34" s="14" t="s">
        <v>80</v>
      </c>
      <c r="B34" s="11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1">
        <v>0</v>
      </c>
      <c r="H34" s="2">
        <v>0</v>
      </c>
      <c r="I34" s="12">
        <v>100</v>
      </c>
      <c r="J34" s="11">
        <v>35</v>
      </c>
      <c r="K34" s="2">
        <v>0</v>
      </c>
      <c r="L34" s="11">
        <v>18.899999999999999</v>
      </c>
      <c r="M34" s="2">
        <v>36000</v>
      </c>
      <c r="N34" s="2">
        <v>0</v>
      </c>
      <c r="O34" s="2">
        <v>36000</v>
      </c>
      <c r="P34" s="2">
        <v>0</v>
      </c>
      <c r="Q34" s="11">
        <v>200</v>
      </c>
      <c r="R34" s="11">
        <v>2</v>
      </c>
      <c r="S34" s="2">
        <v>0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7"/>
        <v>4913.2799999999979</v>
      </c>
      <c r="Z34" s="3">
        <f t="shared" ref="Z34:Z81" si="22">G34*0.8*0.87*(1-0.03*H34/8760)</f>
        <v>0</v>
      </c>
      <c r="AA34" s="2">
        <f t="shared" ref="AA34:AA81" si="23">I34*1.7*0.8*230/1000</f>
        <v>31.28</v>
      </c>
      <c r="AB34" s="6">
        <f t="shared" ref="AB34:AB64" si="24">J34*0.8*0.87*(1-0.03*K34/8760)</f>
        <v>24.36</v>
      </c>
      <c r="AC34" s="2">
        <f t="shared" ref="AC34:AC64" si="25">L34</f>
        <v>18.899999999999999</v>
      </c>
      <c r="AD34" s="5">
        <f t="shared" si="8"/>
        <v>29880</v>
      </c>
      <c r="AE34" s="3">
        <f t="shared" si="9"/>
        <v>2.5020934516831352</v>
      </c>
      <c r="AF34" s="2">
        <f t="shared" si="10"/>
        <v>29880</v>
      </c>
      <c r="AG34" s="3">
        <f t="shared" si="11"/>
        <v>2.5020934516831352</v>
      </c>
      <c r="AH34" s="2">
        <f t="shared" si="12"/>
        <v>200</v>
      </c>
      <c r="AI34" s="2">
        <f t="shared" si="13"/>
        <v>10</v>
      </c>
      <c r="AJ34" s="3">
        <f t="shared" si="14"/>
        <v>0.83333333333333337</v>
      </c>
      <c r="AK34" s="2">
        <f t="shared" ref="AK34:AK64" si="26">L34/0.08</f>
        <v>236.24999999999997</v>
      </c>
      <c r="AL34" s="2">
        <f t="shared" ref="AL34:AL64" si="27">L34*0.08</f>
        <v>1.512</v>
      </c>
      <c r="AM34" s="7">
        <f t="shared" si="15"/>
        <v>0.84656084656084662</v>
      </c>
      <c r="AN34" s="2">
        <f t="shared" si="16"/>
        <v>40</v>
      </c>
      <c r="AO34" s="2">
        <f t="shared" si="17"/>
        <v>2</v>
      </c>
      <c r="AP34" s="2">
        <f t="shared" si="18"/>
        <v>5</v>
      </c>
      <c r="AQ34" s="2">
        <f t="shared" si="20"/>
        <v>240</v>
      </c>
    </row>
    <row r="35" spans="1:43" x14ac:dyDescent="0.3">
      <c r="A35" s="14" t="s">
        <v>81</v>
      </c>
      <c r="B35" s="11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1">
        <v>0</v>
      </c>
      <c r="H35" s="2">
        <v>0</v>
      </c>
      <c r="I35" s="12">
        <v>100</v>
      </c>
      <c r="J35" s="11">
        <v>30</v>
      </c>
      <c r="K35" s="2">
        <v>0</v>
      </c>
      <c r="L35" s="11">
        <v>18</v>
      </c>
      <c r="M35" s="2">
        <v>48000</v>
      </c>
      <c r="N35" s="2">
        <v>0</v>
      </c>
      <c r="O35" s="2">
        <v>48000</v>
      </c>
      <c r="P35" s="2">
        <v>0</v>
      </c>
      <c r="Q35" s="11">
        <v>200</v>
      </c>
      <c r="R35" s="11">
        <v>3</v>
      </c>
      <c r="S35" s="2">
        <v>0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7"/>
        <v>4913.2799999999979</v>
      </c>
      <c r="Z35" s="3">
        <f t="shared" si="22"/>
        <v>0</v>
      </c>
      <c r="AA35" s="2">
        <f t="shared" si="23"/>
        <v>31.28</v>
      </c>
      <c r="AB35" s="6">
        <f t="shared" si="24"/>
        <v>20.88</v>
      </c>
      <c r="AC35" s="2">
        <f t="shared" si="25"/>
        <v>18</v>
      </c>
      <c r="AD35" s="5">
        <f t="shared" si="8"/>
        <v>39840</v>
      </c>
      <c r="AE35" s="3">
        <f t="shared" si="9"/>
        <v>3.3361246022441802</v>
      </c>
      <c r="AF35" s="2">
        <f t="shared" si="10"/>
        <v>39840</v>
      </c>
      <c r="AG35" s="3">
        <f t="shared" si="11"/>
        <v>3.3361246022441802</v>
      </c>
      <c r="AH35" s="2">
        <f t="shared" si="12"/>
        <v>300</v>
      </c>
      <c r="AI35" s="2">
        <f t="shared" si="13"/>
        <v>15</v>
      </c>
      <c r="AJ35" s="3">
        <f t="shared" si="14"/>
        <v>1.25</v>
      </c>
      <c r="AK35" s="2">
        <f t="shared" si="26"/>
        <v>225</v>
      </c>
      <c r="AL35" s="2">
        <f t="shared" si="27"/>
        <v>1.44</v>
      </c>
      <c r="AM35" s="7">
        <f t="shared" si="15"/>
        <v>1.3333333333333333</v>
      </c>
      <c r="AN35" s="2">
        <f t="shared" si="16"/>
        <v>60</v>
      </c>
      <c r="AO35" s="2">
        <f t="shared" si="17"/>
        <v>3</v>
      </c>
      <c r="AP35" s="2">
        <f t="shared" si="18"/>
        <v>5</v>
      </c>
      <c r="AQ35" s="2">
        <f t="shared" si="20"/>
        <v>240</v>
      </c>
    </row>
    <row r="36" spans="1:43" x14ac:dyDescent="0.3">
      <c r="A36" s="16" t="s">
        <v>82</v>
      </c>
      <c r="B36" s="11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1">
        <v>45</v>
      </c>
      <c r="H36" s="2">
        <v>0</v>
      </c>
      <c r="I36" s="12">
        <v>0</v>
      </c>
      <c r="J36" s="11">
        <v>0</v>
      </c>
      <c r="K36" s="2">
        <v>0</v>
      </c>
      <c r="L36" s="11">
        <v>19.2</v>
      </c>
      <c r="M36" s="2">
        <v>36000</v>
      </c>
      <c r="N36" s="2">
        <v>0</v>
      </c>
      <c r="O36" s="2">
        <v>36000</v>
      </c>
      <c r="P36" s="2">
        <v>0</v>
      </c>
      <c r="Q36" s="11">
        <v>200</v>
      </c>
      <c r="R36" s="11">
        <v>5</v>
      </c>
      <c r="S36" s="2">
        <v>0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7"/>
        <v>6960.4799999999968</v>
      </c>
      <c r="Z36" s="3">
        <f t="shared" si="22"/>
        <v>31.32</v>
      </c>
      <c r="AA36" s="2">
        <f t="shared" si="23"/>
        <v>0</v>
      </c>
      <c r="AB36" s="6">
        <f t="shared" si="24"/>
        <v>0</v>
      </c>
      <c r="AC36" s="2">
        <f t="shared" si="25"/>
        <v>19.2</v>
      </c>
      <c r="AD36" s="5">
        <f t="shared" si="8"/>
        <v>29880</v>
      </c>
      <c r="AE36" s="3">
        <f t="shared" si="9"/>
        <v>2.5020934516831352</v>
      </c>
      <c r="AF36" s="2">
        <f t="shared" si="10"/>
        <v>29880</v>
      </c>
      <c r="AG36" s="3">
        <f t="shared" si="11"/>
        <v>2.5020934516831352</v>
      </c>
      <c r="AH36" s="2">
        <f t="shared" si="12"/>
        <v>500</v>
      </c>
      <c r="AI36" s="2">
        <f t="shared" si="13"/>
        <v>25</v>
      </c>
      <c r="AJ36" s="3">
        <f t="shared" si="14"/>
        <v>1.4705882352941178</v>
      </c>
      <c r="AK36" s="2">
        <f t="shared" si="26"/>
        <v>240</v>
      </c>
      <c r="AL36" s="2">
        <f t="shared" si="27"/>
        <v>1.536</v>
      </c>
      <c r="AM36" s="7">
        <f t="shared" si="15"/>
        <v>2.0833333333333335</v>
      </c>
      <c r="AN36" s="2">
        <f t="shared" si="16"/>
        <v>100</v>
      </c>
      <c r="AO36" s="2">
        <f t="shared" si="17"/>
        <v>5</v>
      </c>
      <c r="AP36" s="2">
        <f t="shared" si="18"/>
        <v>5</v>
      </c>
      <c r="AQ36" s="2">
        <f t="shared" si="20"/>
        <v>340</v>
      </c>
    </row>
    <row r="37" spans="1:43" x14ac:dyDescent="0.3">
      <c r="A37" s="14" t="s">
        <v>83</v>
      </c>
      <c r="B37" s="11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1">
        <v>0</v>
      </c>
      <c r="H37" s="2">
        <v>0</v>
      </c>
      <c r="I37" s="12">
        <v>100</v>
      </c>
      <c r="J37" s="11">
        <v>35</v>
      </c>
      <c r="K37" s="2">
        <v>0</v>
      </c>
      <c r="L37" s="11">
        <v>24.3</v>
      </c>
      <c r="M37" s="2">
        <v>36000</v>
      </c>
      <c r="N37" s="2">
        <v>0</v>
      </c>
      <c r="O37" s="2">
        <v>36000</v>
      </c>
      <c r="P37" s="2">
        <v>0</v>
      </c>
      <c r="Q37" s="11">
        <v>200</v>
      </c>
      <c r="R37" s="11">
        <v>3</v>
      </c>
      <c r="S37" s="2">
        <v>0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7"/>
        <v>6141.6000000000022</v>
      </c>
      <c r="Z37" s="3">
        <f t="shared" si="22"/>
        <v>0</v>
      </c>
      <c r="AA37" s="2">
        <f t="shared" si="23"/>
        <v>31.28</v>
      </c>
      <c r="AB37" s="6">
        <f t="shared" si="24"/>
        <v>24.36</v>
      </c>
      <c r="AC37" s="2">
        <f t="shared" si="25"/>
        <v>24.3</v>
      </c>
      <c r="AD37" s="5">
        <f t="shared" si="8"/>
        <v>29880</v>
      </c>
      <c r="AE37" s="3">
        <f t="shared" si="9"/>
        <v>2.5020934516831352</v>
      </c>
      <c r="AF37" s="2">
        <f t="shared" si="10"/>
        <v>29880</v>
      </c>
      <c r="AG37" s="3">
        <f t="shared" si="11"/>
        <v>2.5020934516831352</v>
      </c>
      <c r="AH37" s="2">
        <f t="shared" si="12"/>
        <v>300</v>
      </c>
      <c r="AI37" s="2">
        <f t="shared" si="13"/>
        <v>15</v>
      </c>
      <c r="AJ37" s="3">
        <f t="shared" si="14"/>
        <v>1</v>
      </c>
      <c r="AK37" s="2">
        <f t="shared" si="26"/>
        <v>303.75</v>
      </c>
      <c r="AL37" s="2">
        <f t="shared" si="27"/>
        <v>1.9440000000000002</v>
      </c>
      <c r="AM37" s="7">
        <f t="shared" si="15"/>
        <v>0.98765432098765427</v>
      </c>
      <c r="AN37" s="2">
        <f t="shared" si="16"/>
        <v>60</v>
      </c>
      <c r="AO37" s="2">
        <f t="shared" si="17"/>
        <v>3</v>
      </c>
      <c r="AP37" s="2">
        <f t="shared" si="18"/>
        <v>5</v>
      </c>
      <c r="AQ37" s="2">
        <f t="shared" si="20"/>
        <v>300</v>
      </c>
    </row>
    <row r="38" spans="1:43" x14ac:dyDescent="0.3">
      <c r="A38" s="14" t="s">
        <v>84</v>
      </c>
      <c r="B38" s="11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1">
        <v>0</v>
      </c>
      <c r="H38" s="2">
        <v>0</v>
      </c>
      <c r="I38" s="12">
        <v>100</v>
      </c>
      <c r="J38" s="11">
        <v>25</v>
      </c>
      <c r="K38" s="2">
        <v>0</v>
      </c>
      <c r="L38" s="11">
        <v>15</v>
      </c>
      <c r="M38" s="2">
        <v>36000</v>
      </c>
      <c r="N38" s="2">
        <v>0</v>
      </c>
      <c r="O38" s="2">
        <v>36000</v>
      </c>
      <c r="P38" s="2">
        <v>0</v>
      </c>
      <c r="Q38" s="11">
        <v>200</v>
      </c>
      <c r="R38" s="11">
        <v>2</v>
      </c>
      <c r="S38" s="2">
        <v>0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7"/>
        <v>4913.2799999999979</v>
      </c>
      <c r="Z38" s="3">
        <f t="shared" si="22"/>
        <v>0</v>
      </c>
      <c r="AA38" s="2">
        <f t="shared" si="23"/>
        <v>31.28</v>
      </c>
      <c r="AB38" s="6">
        <f t="shared" si="24"/>
        <v>17.399999999999999</v>
      </c>
      <c r="AC38" s="2">
        <f t="shared" si="25"/>
        <v>15</v>
      </c>
      <c r="AD38" s="5">
        <f t="shared" si="8"/>
        <v>29880</v>
      </c>
      <c r="AE38" s="3">
        <f t="shared" si="9"/>
        <v>2.5020934516831352</v>
      </c>
      <c r="AF38" s="2">
        <f t="shared" si="10"/>
        <v>29880</v>
      </c>
      <c r="AG38" s="3">
        <f t="shared" si="11"/>
        <v>2.5020934516831352</v>
      </c>
      <c r="AH38" s="2">
        <f t="shared" si="12"/>
        <v>200</v>
      </c>
      <c r="AI38" s="2">
        <f t="shared" si="13"/>
        <v>10</v>
      </c>
      <c r="AJ38" s="3">
        <f t="shared" si="14"/>
        <v>0.83333333333333337</v>
      </c>
      <c r="AK38" s="2">
        <f t="shared" si="26"/>
        <v>187.5</v>
      </c>
      <c r="AL38" s="2">
        <f t="shared" si="27"/>
        <v>1.2</v>
      </c>
      <c r="AM38" s="7">
        <f t="shared" si="15"/>
        <v>1.0666666666666667</v>
      </c>
      <c r="AN38" s="2">
        <f t="shared" si="16"/>
        <v>40</v>
      </c>
      <c r="AO38" s="2">
        <f t="shared" si="17"/>
        <v>2</v>
      </c>
      <c r="AP38" s="2">
        <f t="shared" si="18"/>
        <v>5</v>
      </c>
      <c r="AQ38" s="2">
        <f t="shared" si="20"/>
        <v>240</v>
      </c>
    </row>
    <row r="39" spans="1:43" x14ac:dyDescent="0.3">
      <c r="A39" s="16" t="s">
        <v>85</v>
      </c>
      <c r="B39" s="11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1">
        <v>0</v>
      </c>
      <c r="H39" s="2">
        <v>0</v>
      </c>
      <c r="I39" s="12">
        <v>100</v>
      </c>
      <c r="J39" s="11">
        <v>45</v>
      </c>
      <c r="K39" s="2">
        <v>0</v>
      </c>
      <c r="L39" s="11">
        <v>21</v>
      </c>
      <c r="M39" s="2">
        <v>36000</v>
      </c>
      <c r="N39" s="2">
        <v>0</v>
      </c>
      <c r="O39" s="2">
        <v>36000</v>
      </c>
      <c r="P39" s="2">
        <v>0</v>
      </c>
      <c r="Q39" s="11">
        <v>200</v>
      </c>
      <c r="R39" s="11">
        <v>4</v>
      </c>
      <c r="S39" s="2">
        <v>0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7"/>
        <v>6960.4799999999968</v>
      </c>
      <c r="Z39" s="3">
        <f t="shared" si="22"/>
        <v>0</v>
      </c>
      <c r="AA39" s="2">
        <f t="shared" si="23"/>
        <v>31.28</v>
      </c>
      <c r="AB39" s="6">
        <f t="shared" si="24"/>
        <v>31.32</v>
      </c>
      <c r="AC39" s="2">
        <f t="shared" si="25"/>
        <v>21</v>
      </c>
      <c r="AD39" s="5">
        <f t="shared" si="8"/>
        <v>29880</v>
      </c>
      <c r="AE39" s="3">
        <f t="shared" si="9"/>
        <v>2.5020934516831352</v>
      </c>
      <c r="AF39" s="2">
        <f t="shared" si="10"/>
        <v>29880</v>
      </c>
      <c r="AG39" s="3">
        <f t="shared" si="11"/>
        <v>2.5020934516831352</v>
      </c>
      <c r="AH39" s="2">
        <f t="shared" si="12"/>
        <v>400</v>
      </c>
      <c r="AI39" s="2">
        <f t="shared" si="13"/>
        <v>20</v>
      </c>
      <c r="AJ39" s="3">
        <f t="shared" si="14"/>
        <v>1.1764705882352942</v>
      </c>
      <c r="AK39" s="2">
        <f t="shared" si="26"/>
        <v>262.5</v>
      </c>
      <c r="AL39" s="2">
        <f t="shared" si="27"/>
        <v>1.68</v>
      </c>
      <c r="AM39" s="7">
        <f t="shared" si="15"/>
        <v>1.5238095238095237</v>
      </c>
      <c r="AN39" s="2">
        <f t="shared" si="16"/>
        <v>80</v>
      </c>
      <c r="AO39" s="2">
        <f t="shared" si="17"/>
        <v>4</v>
      </c>
      <c r="AP39" s="2">
        <f t="shared" si="18"/>
        <v>5</v>
      </c>
      <c r="AQ39" s="2">
        <f t="shared" si="20"/>
        <v>340</v>
      </c>
    </row>
    <row r="40" spans="1:43" x14ac:dyDescent="0.3">
      <c r="A40" s="14" t="s">
        <v>86</v>
      </c>
      <c r="B40" s="11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1">
        <v>0</v>
      </c>
      <c r="H40" s="2">
        <v>0</v>
      </c>
      <c r="I40" s="12">
        <v>100</v>
      </c>
      <c r="J40" s="11">
        <v>45</v>
      </c>
      <c r="K40" s="2">
        <v>0</v>
      </c>
      <c r="L40" s="11">
        <v>15</v>
      </c>
      <c r="M40" s="2">
        <v>36000</v>
      </c>
      <c r="N40" s="2">
        <v>0</v>
      </c>
      <c r="O40" s="2">
        <v>36000</v>
      </c>
      <c r="P40" s="2">
        <v>0</v>
      </c>
      <c r="Q40" s="11">
        <v>200</v>
      </c>
      <c r="R40" s="11">
        <v>3</v>
      </c>
      <c r="S40" s="2">
        <v>0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7"/>
        <v>6141.6000000000022</v>
      </c>
      <c r="Z40" s="3">
        <f t="shared" si="22"/>
        <v>0</v>
      </c>
      <c r="AA40" s="2">
        <f t="shared" si="23"/>
        <v>31.28</v>
      </c>
      <c r="AB40" s="6">
        <f t="shared" si="24"/>
        <v>31.32</v>
      </c>
      <c r="AC40" s="2">
        <f t="shared" si="25"/>
        <v>15</v>
      </c>
      <c r="AD40" s="5">
        <f t="shared" si="8"/>
        <v>29880</v>
      </c>
      <c r="AE40" s="3">
        <f t="shared" si="9"/>
        <v>2.5020934516831352</v>
      </c>
      <c r="AF40" s="2">
        <f t="shared" si="10"/>
        <v>29880</v>
      </c>
      <c r="AG40" s="3">
        <f t="shared" si="11"/>
        <v>2.5020934516831352</v>
      </c>
      <c r="AH40" s="2">
        <f t="shared" si="12"/>
        <v>300</v>
      </c>
      <c r="AI40" s="2">
        <f t="shared" si="13"/>
        <v>15</v>
      </c>
      <c r="AJ40" s="3">
        <f t="shared" si="14"/>
        <v>1</v>
      </c>
      <c r="AK40" s="2">
        <f t="shared" si="26"/>
        <v>187.5</v>
      </c>
      <c r="AL40" s="2">
        <f t="shared" si="27"/>
        <v>1.2</v>
      </c>
      <c r="AM40" s="7">
        <f t="shared" si="15"/>
        <v>1.6</v>
      </c>
      <c r="AN40" s="2">
        <f t="shared" si="16"/>
        <v>60</v>
      </c>
      <c r="AO40" s="2">
        <f t="shared" si="17"/>
        <v>3</v>
      </c>
      <c r="AP40" s="2">
        <f t="shared" si="18"/>
        <v>5</v>
      </c>
      <c r="AQ40" s="2">
        <f t="shared" si="20"/>
        <v>300</v>
      </c>
    </row>
    <row r="41" spans="1:43" x14ac:dyDescent="0.3">
      <c r="A41" s="14" t="s">
        <v>87</v>
      </c>
      <c r="B41" s="11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1">
        <v>0</v>
      </c>
      <c r="H41" s="2">
        <v>0</v>
      </c>
      <c r="I41" s="12">
        <v>100</v>
      </c>
      <c r="J41" s="11">
        <v>35</v>
      </c>
      <c r="K41" s="2">
        <v>0</v>
      </c>
      <c r="L41" s="11">
        <v>21.6</v>
      </c>
      <c r="M41" s="2">
        <v>36000</v>
      </c>
      <c r="N41" s="2">
        <v>0</v>
      </c>
      <c r="O41" s="2">
        <v>36000</v>
      </c>
      <c r="P41" s="2">
        <v>0</v>
      </c>
      <c r="Q41" s="11">
        <v>200</v>
      </c>
      <c r="R41" s="11">
        <v>2</v>
      </c>
      <c r="S41" s="2">
        <v>0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7"/>
        <v>4913.2799999999979</v>
      </c>
      <c r="Z41" s="3">
        <f t="shared" si="22"/>
        <v>0</v>
      </c>
      <c r="AA41" s="2">
        <f t="shared" si="23"/>
        <v>31.28</v>
      </c>
      <c r="AB41" s="6">
        <f t="shared" si="24"/>
        <v>24.36</v>
      </c>
      <c r="AC41" s="2">
        <f t="shared" si="25"/>
        <v>21.6</v>
      </c>
      <c r="AD41" s="5">
        <f t="shared" si="8"/>
        <v>29880</v>
      </c>
      <c r="AE41" s="3">
        <f t="shared" si="9"/>
        <v>2.5020934516831352</v>
      </c>
      <c r="AF41" s="2">
        <f t="shared" si="10"/>
        <v>29880</v>
      </c>
      <c r="AG41" s="3">
        <f t="shared" si="11"/>
        <v>2.5020934516831352</v>
      </c>
      <c r="AH41" s="2">
        <f t="shared" si="12"/>
        <v>200</v>
      </c>
      <c r="AI41" s="2">
        <f t="shared" si="13"/>
        <v>10</v>
      </c>
      <c r="AJ41" s="3">
        <f t="shared" si="14"/>
        <v>0.83333333333333337</v>
      </c>
      <c r="AK41" s="2">
        <f t="shared" si="26"/>
        <v>270</v>
      </c>
      <c r="AL41" s="2">
        <f t="shared" si="27"/>
        <v>1.7280000000000002</v>
      </c>
      <c r="AM41" s="7">
        <f t="shared" si="15"/>
        <v>0.7407407407407407</v>
      </c>
      <c r="AN41" s="2">
        <f t="shared" si="16"/>
        <v>40</v>
      </c>
      <c r="AO41" s="2">
        <f t="shared" si="17"/>
        <v>2</v>
      </c>
      <c r="AP41" s="2">
        <f t="shared" si="18"/>
        <v>5</v>
      </c>
      <c r="AQ41" s="2">
        <f t="shared" si="20"/>
        <v>240</v>
      </c>
    </row>
    <row r="42" spans="1:43" x14ac:dyDescent="0.3">
      <c r="A42" s="16" t="s">
        <v>88</v>
      </c>
      <c r="B42" s="11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1">
        <v>30</v>
      </c>
      <c r="H42" s="2">
        <v>0</v>
      </c>
      <c r="I42" s="12">
        <v>0</v>
      </c>
      <c r="J42" s="11">
        <v>0</v>
      </c>
      <c r="K42" s="2">
        <v>0</v>
      </c>
      <c r="L42" s="11">
        <v>18</v>
      </c>
      <c r="M42" s="2">
        <v>10200</v>
      </c>
      <c r="N42" s="2">
        <v>0</v>
      </c>
      <c r="O42" s="2">
        <v>0</v>
      </c>
      <c r="P42" s="2">
        <v>0</v>
      </c>
      <c r="Q42" s="11">
        <v>200</v>
      </c>
      <c r="R42" s="11">
        <v>4</v>
      </c>
      <c r="S42" s="2">
        <v>0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7"/>
        <v>6960.4799999999968</v>
      </c>
      <c r="Z42" s="3">
        <f t="shared" si="22"/>
        <v>20.88</v>
      </c>
      <c r="AA42" s="2">
        <f t="shared" si="23"/>
        <v>0</v>
      </c>
      <c r="AB42" s="6">
        <f t="shared" si="24"/>
        <v>0</v>
      </c>
      <c r="AC42" s="2">
        <f t="shared" si="25"/>
        <v>18</v>
      </c>
      <c r="AD42" s="5">
        <f t="shared" si="8"/>
        <v>8466</v>
      </c>
      <c r="AE42" s="3">
        <f t="shared" si="9"/>
        <v>0.70892647797688835</v>
      </c>
      <c r="AF42" s="2">
        <f t="shared" si="10"/>
        <v>0</v>
      </c>
      <c r="AG42" s="3">
        <f t="shared" si="11"/>
        <v>0</v>
      </c>
      <c r="AH42" s="2">
        <f t="shared" si="12"/>
        <v>400</v>
      </c>
      <c r="AI42" s="2">
        <f t="shared" si="13"/>
        <v>20</v>
      </c>
      <c r="AJ42" s="3">
        <f t="shared" si="14"/>
        <v>1.1764705882352942</v>
      </c>
      <c r="AK42" s="2">
        <f t="shared" si="26"/>
        <v>225</v>
      </c>
      <c r="AL42" s="2">
        <f t="shared" si="27"/>
        <v>1.44</v>
      </c>
      <c r="AM42" s="7">
        <f t="shared" si="15"/>
        <v>1.7777777777777777</v>
      </c>
      <c r="AN42" s="2">
        <f t="shared" si="16"/>
        <v>80</v>
      </c>
      <c r="AO42" s="2">
        <f t="shared" si="17"/>
        <v>4</v>
      </c>
      <c r="AP42" s="2">
        <f t="shared" si="18"/>
        <v>5</v>
      </c>
      <c r="AQ42" s="2">
        <f t="shared" si="20"/>
        <v>340</v>
      </c>
    </row>
    <row r="43" spans="1:43" x14ac:dyDescent="0.3">
      <c r="A43" s="14" t="s">
        <v>89</v>
      </c>
      <c r="B43" s="11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1">
        <v>0</v>
      </c>
      <c r="H43" s="2">
        <v>0</v>
      </c>
      <c r="I43" s="12">
        <v>100</v>
      </c>
      <c r="J43" s="11">
        <v>25</v>
      </c>
      <c r="K43" s="2">
        <v>0</v>
      </c>
      <c r="L43" s="11">
        <v>18</v>
      </c>
      <c r="M43" s="2">
        <v>10200</v>
      </c>
      <c r="N43" s="2">
        <v>0</v>
      </c>
      <c r="O43" s="2">
        <v>0</v>
      </c>
      <c r="P43" s="2">
        <v>0</v>
      </c>
      <c r="Q43" s="11">
        <v>190</v>
      </c>
      <c r="R43" s="11">
        <v>4</v>
      </c>
      <c r="S43" s="2">
        <v>0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7"/>
        <v>4913.2799999999979</v>
      </c>
      <c r="Z43" s="3">
        <f t="shared" si="22"/>
        <v>0</v>
      </c>
      <c r="AA43" s="2">
        <f t="shared" si="23"/>
        <v>31.28</v>
      </c>
      <c r="AB43" s="6">
        <f t="shared" si="24"/>
        <v>17.399999999999999</v>
      </c>
      <c r="AC43" s="2">
        <f t="shared" si="25"/>
        <v>18</v>
      </c>
      <c r="AD43" s="5">
        <f t="shared" si="8"/>
        <v>8466</v>
      </c>
      <c r="AE43" s="3">
        <f t="shared" si="9"/>
        <v>0.70892647797688835</v>
      </c>
      <c r="AF43" s="2">
        <f t="shared" si="10"/>
        <v>0</v>
      </c>
      <c r="AG43" s="3">
        <f t="shared" si="11"/>
        <v>0</v>
      </c>
      <c r="AH43" s="2">
        <f t="shared" si="12"/>
        <v>380</v>
      </c>
      <c r="AI43" s="2">
        <f t="shared" si="13"/>
        <v>19</v>
      </c>
      <c r="AJ43" s="3">
        <f t="shared" si="14"/>
        <v>1.5833333333333333</v>
      </c>
      <c r="AK43" s="2">
        <f t="shared" si="26"/>
        <v>225</v>
      </c>
      <c r="AL43" s="2">
        <f t="shared" si="27"/>
        <v>1.44</v>
      </c>
      <c r="AM43" s="7">
        <f t="shared" si="15"/>
        <v>1.6888888888888889</v>
      </c>
      <c r="AN43" s="2">
        <f t="shared" si="16"/>
        <v>76</v>
      </c>
      <c r="AO43" s="2">
        <f t="shared" si="17"/>
        <v>3.8</v>
      </c>
      <c r="AP43" s="2">
        <f t="shared" si="18"/>
        <v>5</v>
      </c>
      <c r="AQ43" s="2">
        <f t="shared" si="20"/>
        <v>240</v>
      </c>
    </row>
    <row r="44" spans="1:43" x14ac:dyDescent="0.3">
      <c r="A44" s="14" t="s">
        <v>90</v>
      </c>
      <c r="B44" s="11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1">
        <v>0</v>
      </c>
      <c r="H44" s="2">
        <v>0</v>
      </c>
      <c r="I44" s="12">
        <v>100</v>
      </c>
      <c r="J44" s="11">
        <v>25</v>
      </c>
      <c r="K44" s="2">
        <v>0</v>
      </c>
      <c r="L44" s="11">
        <v>15</v>
      </c>
      <c r="M44" s="2">
        <v>10200</v>
      </c>
      <c r="N44" s="2">
        <v>0</v>
      </c>
      <c r="O44" s="2">
        <v>0</v>
      </c>
      <c r="P44" s="2">
        <v>0</v>
      </c>
      <c r="Q44" s="11">
        <v>190</v>
      </c>
      <c r="R44" s="11">
        <v>3</v>
      </c>
      <c r="S44" s="2">
        <v>0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7"/>
        <v>4913.2799999999979</v>
      </c>
      <c r="Z44" s="3">
        <f t="shared" si="22"/>
        <v>0</v>
      </c>
      <c r="AA44" s="2">
        <f t="shared" si="23"/>
        <v>31.28</v>
      </c>
      <c r="AB44" s="6">
        <f t="shared" si="24"/>
        <v>17.399999999999999</v>
      </c>
      <c r="AC44" s="2">
        <f t="shared" si="25"/>
        <v>15</v>
      </c>
      <c r="AD44" s="5">
        <f t="shared" si="8"/>
        <v>8466</v>
      </c>
      <c r="AE44" s="3">
        <f t="shared" si="9"/>
        <v>0.70892647797688835</v>
      </c>
      <c r="AF44" s="2">
        <f t="shared" si="10"/>
        <v>0</v>
      </c>
      <c r="AG44" s="3">
        <f t="shared" si="11"/>
        <v>0</v>
      </c>
      <c r="AH44" s="2">
        <f t="shared" si="12"/>
        <v>285</v>
      </c>
      <c r="AI44" s="2">
        <f t="shared" si="13"/>
        <v>14.25</v>
      </c>
      <c r="AJ44" s="3">
        <f t="shared" si="14"/>
        <v>1.1875</v>
      </c>
      <c r="AK44" s="2">
        <f t="shared" si="26"/>
        <v>187.5</v>
      </c>
      <c r="AL44" s="2">
        <f t="shared" si="27"/>
        <v>1.2</v>
      </c>
      <c r="AM44" s="7">
        <f t="shared" si="15"/>
        <v>1.52</v>
      </c>
      <c r="AN44" s="2">
        <f t="shared" si="16"/>
        <v>57</v>
      </c>
      <c r="AO44" s="2">
        <f t="shared" si="17"/>
        <v>2.85</v>
      </c>
      <c r="AP44" s="2">
        <f t="shared" si="18"/>
        <v>5</v>
      </c>
      <c r="AQ44" s="2">
        <f t="shared" si="20"/>
        <v>240</v>
      </c>
    </row>
    <row r="45" spans="1:43" x14ac:dyDescent="0.3">
      <c r="A45" s="14" t="s">
        <v>91</v>
      </c>
      <c r="B45" s="11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1">
        <v>0</v>
      </c>
      <c r="H45" s="2">
        <v>0</v>
      </c>
      <c r="I45" s="12">
        <v>100</v>
      </c>
      <c r="J45" s="11">
        <v>35</v>
      </c>
      <c r="K45" s="2">
        <v>0</v>
      </c>
      <c r="L45" s="11">
        <v>24</v>
      </c>
      <c r="M45" s="2">
        <v>10200</v>
      </c>
      <c r="N45" s="2">
        <v>0</v>
      </c>
      <c r="O45" s="2">
        <v>0</v>
      </c>
      <c r="P45" s="2">
        <v>0</v>
      </c>
      <c r="Q45" s="11">
        <v>190</v>
      </c>
      <c r="R45" s="11">
        <v>4</v>
      </c>
      <c r="S45" s="2">
        <v>0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7"/>
        <v>6141.6000000000022</v>
      </c>
      <c r="Z45" s="3">
        <f t="shared" si="22"/>
        <v>0</v>
      </c>
      <c r="AA45" s="2">
        <f t="shared" si="23"/>
        <v>31.28</v>
      </c>
      <c r="AB45" s="6">
        <f t="shared" si="24"/>
        <v>24.36</v>
      </c>
      <c r="AC45" s="2">
        <f t="shared" si="25"/>
        <v>24</v>
      </c>
      <c r="AD45" s="5">
        <f t="shared" si="8"/>
        <v>8466</v>
      </c>
      <c r="AE45" s="3">
        <f t="shared" si="9"/>
        <v>0.70892647797688835</v>
      </c>
      <c r="AF45" s="2">
        <f t="shared" si="10"/>
        <v>0</v>
      </c>
      <c r="AG45" s="3">
        <f t="shared" si="11"/>
        <v>0</v>
      </c>
      <c r="AH45" s="2">
        <f t="shared" si="12"/>
        <v>380</v>
      </c>
      <c r="AI45" s="2">
        <f t="shared" si="13"/>
        <v>19</v>
      </c>
      <c r="AJ45" s="3">
        <f t="shared" si="14"/>
        <v>1.2666666666666666</v>
      </c>
      <c r="AK45" s="2">
        <f t="shared" si="26"/>
        <v>300</v>
      </c>
      <c r="AL45" s="2">
        <f t="shared" si="27"/>
        <v>1.92</v>
      </c>
      <c r="AM45" s="7">
        <f t="shared" si="15"/>
        <v>1.2666666666666666</v>
      </c>
      <c r="AN45" s="2">
        <f t="shared" si="16"/>
        <v>76</v>
      </c>
      <c r="AO45" s="2">
        <f t="shared" si="17"/>
        <v>3.8</v>
      </c>
      <c r="AP45" s="2">
        <f t="shared" si="18"/>
        <v>5</v>
      </c>
      <c r="AQ45" s="2">
        <f t="shared" si="20"/>
        <v>300</v>
      </c>
    </row>
    <row r="46" spans="1:43" x14ac:dyDescent="0.3">
      <c r="A46" s="14" t="s">
        <v>113</v>
      </c>
      <c r="B46" s="11" t="s">
        <v>70</v>
      </c>
      <c r="C46" s="2" t="s">
        <v>73</v>
      </c>
      <c r="D46" s="2" t="s">
        <v>75</v>
      </c>
      <c r="E46" s="2">
        <v>21.3813332</v>
      </c>
      <c r="F46" s="2">
        <v>39.902583800000002</v>
      </c>
      <c r="G46" s="11">
        <v>0</v>
      </c>
      <c r="H46" s="2">
        <v>0</v>
      </c>
      <c r="I46" s="12">
        <v>70</v>
      </c>
      <c r="J46" s="11">
        <v>35</v>
      </c>
      <c r="K46" s="2">
        <v>0</v>
      </c>
      <c r="L46" s="11">
        <v>18</v>
      </c>
      <c r="M46" s="2">
        <v>10200</v>
      </c>
      <c r="N46" s="2">
        <v>0</v>
      </c>
      <c r="O46" s="2">
        <v>0</v>
      </c>
      <c r="P46" s="2">
        <v>0</v>
      </c>
      <c r="Q46" s="11">
        <v>200</v>
      </c>
      <c r="R46" s="11">
        <v>4</v>
      </c>
      <c r="S46" s="2">
        <v>0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7"/>
        <v>6960.4799999999968</v>
      </c>
      <c r="Z46" s="3">
        <f t="shared" si="22"/>
        <v>0</v>
      </c>
      <c r="AA46" s="2">
        <f t="shared" si="23"/>
        <v>21.896000000000001</v>
      </c>
      <c r="AB46" s="6">
        <f t="shared" si="24"/>
        <v>24.36</v>
      </c>
      <c r="AC46" s="2">
        <f t="shared" si="25"/>
        <v>18</v>
      </c>
      <c r="AD46" s="5">
        <f t="shared" si="8"/>
        <v>8466</v>
      </c>
      <c r="AE46" s="3">
        <f t="shared" si="9"/>
        <v>0.70892647797688835</v>
      </c>
      <c r="AF46" s="2">
        <f t="shared" si="10"/>
        <v>0</v>
      </c>
      <c r="AG46" s="3">
        <f t="shared" si="11"/>
        <v>0</v>
      </c>
      <c r="AH46" s="2">
        <f t="shared" si="12"/>
        <v>400</v>
      </c>
      <c r="AI46" s="2">
        <f t="shared" si="13"/>
        <v>20</v>
      </c>
      <c r="AJ46" s="3">
        <f t="shared" si="14"/>
        <v>1.1764705882352942</v>
      </c>
      <c r="AK46" s="2">
        <f t="shared" si="26"/>
        <v>225</v>
      </c>
      <c r="AL46" s="2">
        <f t="shared" si="27"/>
        <v>1.44</v>
      </c>
      <c r="AM46" s="7">
        <f t="shared" si="15"/>
        <v>1.7777777777777777</v>
      </c>
      <c r="AN46" s="2">
        <f t="shared" si="16"/>
        <v>80</v>
      </c>
      <c r="AO46" s="2">
        <f t="shared" si="17"/>
        <v>4</v>
      </c>
      <c r="AP46" s="2">
        <f t="shared" si="18"/>
        <v>5</v>
      </c>
      <c r="AQ46" s="2">
        <f t="shared" si="20"/>
        <v>340</v>
      </c>
    </row>
    <row r="47" spans="1:43" x14ac:dyDescent="0.3">
      <c r="A47" s="14" t="s">
        <v>92</v>
      </c>
      <c r="B47" s="11" t="s">
        <v>70</v>
      </c>
      <c r="C47" s="2" t="s">
        <v>73</v>
      </c>
      <c r="D47" s="2" t="s">
        <v>75</v>
      </c>
      <c r="E47" s="2">
        <v>21.386603999999998</v>
      </c>
      <c r="F47" s="2">
        <v>39.897081</v>
      </c>
      <c r="G47" s="11">
        <v>0</v>
      </c>
      <c r="H47" s="2">
        <v>0</v>
      </c>
      <c r="I47" s="12">
        <v>100</v>
      </c>
      <c r="J47" s="11">
        <v>35</v>
      </c>
      <c r="K47" s="2">
        <v>0</v>
      </c>
      <c r="L47" s="11">
        <v>21</v>
      </c>
      <c r="M47" s="2">
        <v>10200</v>
      </c>
      <c r="N47" s="2">
        <v>0</v>
      </c>
      <c r="O47" s="2">
        <v>0</v>
      </c>
      <c r="P47" s="2">
        <v>0</v>
      </c>
      <c r="Q47" s="11">
        <v>200</v>
      </c>
      <c r="R47" s="11">
        <v>4</v>
      </c>
      <c r="S47" s="2">
        <v>0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7"/>
        <v>6960.4799999999968</v>
      </c>
      <c r="Z47" s="3">
        <f t="shared" si="22"/>
        <v>0</v>
      </c>
      <c r="AA47" s="2">
        <f t="shared" si="23"/>
        <v>31.28</v>
      </c>
      <c r="AB47" s="6">
        <f t="shared" si="24"/>
        <v>24.36</v>
      </c>
      <c r="AC47" s="2">
        <f t="shared" si="25"/>
        <v>21</v>
      </c>
      <c r="AD47" s="5">
        <f t="shared" si="8"/>
        <v>8466</v>
      </c>
      <c r="AE47" s="3">
        <f t="shared" si="9"/>
        <v>0.70892647797688835</v>
      </c>
      <c r="AF47" s="2">
        <f t="shared" si="10"/>
        <v>0</v>
      </c>
      <c r="AG47" s="3">
        <f t="shared" si="11"/>
        <v>0</v>
      </c>
      <c r="AH47" s="2">
        <f t="shared" si="12"/>
        <v>400</v>
      </c>
      <c r="AI47" s="2">
        <f t="shared" si="13"/>
        <v>20</v>
      </c>
      <c r="AJ47" s="3">
        <f t="shared" si="14"/>
        <v>1.1764705882352942</v>
      </c>
      <c r="AK47" s="2">
        <f t="shared" si="26"/>
        <v>262.5</v>
      </c>
      <c r="AL47" s="2">
        <f t="shared" si="27"/>
        <v>1.68</v>
      </c>
      <c r="AM47" s="7">
        <f t="shared" si="15"/>
        <v>1.5238095238095237</v>
      </c>
      <c r="AN47" s="2">
        <f t="shared" si="16"/>
        <v>80</v>
      </c>
      <c r="AO47" s="2">
        <f t="shared" si="17"/>
        <v>4</v>
      </c>
      <c r="AP47" s="2">
        <f t="shared" si="18"/>
        <v>5</v>
      </c>
      <c r="AQ47" s="2">
        <f t="shared" si="20"/>
        <v>340</v>
      </c>
    </row>
    <row r="48" spans="1:43" x14ac:dyDescent="0.3">
      <c r="A48" s="14" t="s">
        <v>93</v>
      </c>
      <c r="B48" s="11" t="s">
        <v>70</v>
      </c>
      <c r="C48" s="2" t="s">
        <v>73</v>
      </c>
      <c r="D48" s="2" t="s">
        <v>75</v>
      </c>
      <c r="E48" s="2">
        <v>21.387678000000001</v>
      </c>
      <c r="F48" s="2">
        <v>39.896186999999998</v>
      </c>
      <c r="G48" s="11">
        <v>0</v>
      </c>
      <c r="H48" s="2">
        <v>0</v>
      </c>
      <c r="I48" s="12">
        <v>100</v>
      </c>
      <c r="J48" s="11">
        <v>35</v>
      </c>
      <c r="K48" s="2">
        <v>0</v>
      </c>
      <c r="L48" s="11">
        <v>24</v>
      </c>
      <c r="M48" s="2">
        <v>10200</v>
      </c>
      <c r="N48" s="2">
        <v>0</v>
      </c>
      <c r="O48" s="2">
        <v>0</v>
      </c>
      <c r="P48" s="2">
        <v>0</v>
      </c>
      <c r="Q48" s="11">
        <v>200</v>
      </c>
      <c r="R48" s="11">
        <v>4</v>
      </c>
      <c r="S48" s="2">
        <v>0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7"/>
        <v>6960.4799999999968</v>
      </c>
      <c r="Z48" s="3">
        <f t="shared" si="22"/>
        <v>0</v>
      </c>
      <c r="AA48" s="2">
        <f t="shared" si="23"/>
        <v>31.28</v>
      </c>
      <c r="AB48" s="6">
        <f t="shared" si="24"/>
        <v>24.36</v>
      </c>
      <c r="AC48" s="2">
        <f t="shared" si="25"/>
        <v>24</v>
      </c>
      <c r="AD48" s="5">
        <f t="shared" si="8"/>
        <v>8466</v>
      </c>
      <c r="AE48" s="3">
        <f t="shared" si="9"/>
        <v>0.70892647797688835</v>
      </c>
      <c r="AF48" s="2">
        <f t="shared" si="10"/>
        <v>0</v>
      </c>
      <c r="AG48" s="3">
        <f t="shared" si="11"/>
        <v>0</v>
      </c>
      <c r="AH48" s="2">
        <f t="shared" si="12"/>
        <v>400</v>
      </c>
      <c r="AI48" s="2">
        <f t="shared" si="13"/>
        <v>20</v>
      </c>
      <c r="AJ48" s="3">
        <f t="shared" si="14"/>
        <v>1.1764705882352942</v>
      </c>
      <c r="AK48" s="2">
        <f t="shared" si="26"/>
        <v>300</v>
      </c>
      <c r="AL48" s="2">
        <f t="shared" si="27"/>
        <v>1.92</v>
      </c>
      <c r="AM48" s="7">
        <f t="shared" si="15"/>
        <v>1.3333333333333333</v>
      </c>
      <c r="AN48" s="2">
        <f t="shared" si="16"/>
        <v>80</v>
      </c>
      <c r="AO48" s="2">
        <f t="shared" si="17"/>
        <v>4</v>
      </c>
      <c r="AP48" s="2">
        <f t="shared" si="18"/>
        <v>5</v>
      </c>
      <c r="AQ48" s="2">
        <f t="shared" si="20"/>
        <v>340</v>
      </c>
    </row>
    <row r="49" spans="1:43" x14ac:dyDescent="0.3">
      <c r="A49" s="16" t="s">
        <v>94</v>
      </c>
      <c r="B49" s="11" t="s">
        <v>71</v>
      </c>
      <c r="C49" s="2" t="s">
        <v>73</v>
      </c>
      <c r="D49" s="2" t="s">
        <v>101</v>
      </c>
      <c r="E49" s="2">
        <v>21.647214000000002</v>
      </c>
      <c r="F49" s="2">
        <v>40.389186000000002</v>
      </c>
      <c r="G49" s="11">
        <v>45</v>
      </c>
      <c r="H49" s="2">
        <v>0</v>
      </c>
      <c r="I49" s="12">
        <v>0</v>
      </c>
      <c r="J49" s="11">
        <v>0</v>
      </c>
      <c r="K49" s="2">
        <v>0</v>
      </c>
      <c r="L49" s="11">
        <v>30</v>
      </c>
      <c r="M49" s="2">
        <v>10200</v>
      </c>
      <c r="N49" s="2">
        <v>0</v>
      </c>
      <c r="O49" s="2">
        <v>0</v>
      </c>
      <c r="P49" s="2">
        <v>0</v>
      </c>
      <c r="Q49" s="11">
        <v>200</v>
      </c>
      <c r="R49" s="11">
        <v>4</v>
      </c>
      <c r="S49" s="2">
        <v>0</v>
      </c>
      <c r="T49" s="2">
        <v>0.5</v>
      </c>
      <c r="U49" s="2">
        <v>0.8</v>
      </c>
      <c r="V49" s="1">
        <v>14.96</v>
      </c>
      <c r="W49" s="2">
        <f t="shared" si="21"/>
        <v>2.0399999999999991</v>
      </c>
      <c r="X49" s="1">
        <v>17</v>
      </c>
      <c r="Y49" s="2">
        <f t="shared" si="7"/>
        <v>6960.4799999999968</v>
      </c>
      <c r="Z49" s="3">
        <f t="shared" si="22"/>
        <v>31.32</v>
      </c>
      <c r="AA49" s="2">
        <f t="shared" si="23"/>
        <v>0</v>
      </c>
      <c r="AB49" s="6">
        <f t="shared" si="24"/>
        <v>0</v>
      </c>
      <c r="AC49" s="2">
        <f t="shared" si="25"/>
        <v>30</v>
      </c>
      <c r="AD49" s="5">
        <f t="shared" si="8"/>
        <v>8466</v>
      </c>
      <c r="AE49" s="3">
        <f t="shared" si="9"/>
        <v>0.70892647797688835</v>
      </c>
      <c r="AF49" s="2">
        <f t="shared" si="10"/>
        <v>0</v>
      </c>
      <c r="AG49" s="3">
        <f t="shared" si="11"/>
        <v>0</v>
      </c>
      <c r="AH49" s="2">
        <f t="shared" si="12"/>
        <v>400</v>
      </c>
      <c r="AI49" s="2">
        <f t="shared" si="13"/>
        <v>20</v>
      </c>
      <c r="AJ49" s="3">
        <f t="shared" si="14"/>
        <v>1.1764705882352942</v>
      </c>
      <c r="AK49" s="2">
        <f t="shared" si="26"/>
        <v>375</v>
      </c>
      <c r="AL49" s="2">
        <f t="shared" si="27"/>
        <v>2.4</v>
      </c>
      <c r="AM49" s="7">
        <f t="shared" si="15"/>
        <v>1.0666666666666667</v>
      </c>
      <c r="AN49" s="2">
        <f t="shared" si="16"/>
        <v>80</v>
      </c>
      <c r="AO49" s="2">
        <f t="shared" si="17"/>
        <v>4</v>
      </c>
      <c r="AP49" s="2">
        <f t="shared" si="18"/>
        <v>5</v>
      </c>
      <c r="AQ49" s="2">
        <f t="shared" si="20"/>
        <v>340</v>
      </c>
    </row>
    <row r="50" spans="1:43" x14ac:dyDescent="0.3">
      <c r="A50" s="16" t="s">
        <v>95</v>
      </c>
      <c r="B50" s="11" t="s">
        <v>71</v>
      </c>
      <c r="C50" s="2" t="s">
        <v>73</v>
      </c>
      <c r="D50" s="2" t="s">
        <v>101</v>
      </c>
      <c r="E50" s="2">
        <v>21.631015000000001</v>
      </c>
      <c r="F50" s="2">
        <v>40.427249000000003</v>
      </c>
      <c r="G50" s="11">
        <v>25</v>
      </c>
      <c r="H50" s="2">
        <v>0</v>
      </c>
      <c r="I50" s="12">
        <v>0</v>
      </c>
      <c r="J50" s="11">
        <v>0</v>
      </c>
      <c r="K50" s="2">
        <v>0</v>
      </c>
      <c r="L50" s="11">
        <v>33</v>
      </c>
      <c r="M50" s="2">
        <v>10200</v>
      </c>
      <c r="N50" s="2">
        <v>0</v>
      </c>
      <c r="O50" s="2">
        <v>0</v>
      </c>
      <c r="P50" s="2">
        <v>0</v>
      </c>
      <c r="Q50" s="11">
        <v>100</v>
      </c>
      <c r="R50" s="11">
        <v>3</v>
      </c>
      <c r="S50" s="2">
        <v>0</v>
      </c>
      <c r="T50" s="2">
        <v>0.5</v>
      </c>
      <c r="U50" s="2">
        <v>0.8</v>
      </c>
      <c r="V50" s="1">
        <v>10.56</v>
      </c>
      <c r="W50" s="2">
        <f t="shared" si="21"/>
        <v>1.4399999999999995</v>
      </c>
      <c r="X50" s="1">
        <v>12</v>
      </c>
      <c r="Y50" s="2">
        <f t="shared" si="7"/>
        <v>4913.2799999999979</v>
      </c>
      <c r="Z50" s="3">
        <f t="shared" si="22"/>
        <v>17.399999999999999</v>
      </c>
      <c r="AA50" s="2">
        <f t="shared" si="23"/>
        <v>0</v>
      </c>
      <c r="AB50" s="6">
        <f t="shared" si="24"/>
        <v>0</v>
      </c>
      <c r="AC50" s="2">
        <f t="shared" si="25"/>
        <v>33</v>
      </c>
      <c r="AD50" s="5">
        <f t="shared" si="8"/>
        <v>8466</v>
      </c>
      <c r="AE50" s="3">
        <f t="shared" si="9"/>
        <v>0.70892647797688835</v>
      </c>
      <c r="AF50" s="2">
        <f t="shared" si="10"/>
        <v>0</v>
      </c>
      <c r="AG50" s="3">
        <f t="shared" si="11"/>
        <v>0</v>
      </c>
      <c r="AH50" s="2">
        <f t="shared" si="12"/>
        <v>150</v>
      </c>
      <c r="AI50" s="2">
        <f t="shared" si="13"/>
        <v>7.5</v>
      </c>
      <c r="AJ50" s="3">
        <f t="shared" si="14"/>
        <v>0.625</v>
      </c>
      <c r="AK50" s="2">
        <f t="shared" si="26"/>
        <v>412.5</v>
      </c>
      <c r="AL50" s="2">
        <f t="shared" si="27"/>
        <v>2.64</v>
      </c>
      <c r="AM50" s="7">
        <f t="shared" si="15"/>
        <v>0.36363636363636365</v>
      </c>
      <c r="AN50" s="2">
        <f t="shared" si="16"/>
        <v>30</v>
      </c>
      <c r="AO50" s="2">
        <f t="shared" si="17"/>
        <v>1.5</v>
      </c>
      <c r="AP50" s="2">
        <f t="shared" si="18"/>
        <v>5</v>
      </c>
      <c r="AQ50" s="2">
        <f t="shared" si="20"/>
        <v>240</v>
      </c>
    </row>
    <row r="51" spans="1:43" x14ac:dyDescent="0.3">
      <c r="A51" s="14" t="s">
        <v>96</v>
      </c>
      <c r="B51" s="11" t="s">
        <v>70</v>
      </c>
      <c r="C51" s="2" t="s">
        <v>73</v>
      </c>
      <c r="D51" s="2" t="s">
        <v>75</v>
      </c>
      <c r="E51" s="2">
        <v>21.386942000000001</v>
      </c>
      <c r="F51" s="2">
        <v>39.899549999999998</v>
      </c>
      <c r="G51" s="11">
        <v>0</v>
      </c>
      <c r="H51" s="2">
        <v>0</v>
      </c>
      <c r="I51" s="12">
        <v>100</v>
      </c>
      <c r="J51" s="11">
        <v>35</v>
      </c>
      <c r="K51" s="2">
        <v>0</v>
      </c>
      <c r="L51" s="11">
        <v>18</v>
      </c>
      <c r="M51" s="2">
        <v>10200</v>
      </c>
      <c r="N51" s="2">
        <v>0</v>
      </c>
      <c r="O51" s="2">
        <v>0</v>
      </c>
      <c r="P51" s="2">
        <v>0</v>
      </c>
      <c r="Q51" s="11">
        <v>200</v>
      </c>
      <c r="R51" s="11">
        <v>4</v>
      </c>
      <c r="S51" s="2">
        <v>0</v>
      </c>
      <c r="T51" s="2">
        <v>0.5</v>
      </c>
      <c r="U51" s="2">
        <v>0.8</v>
      </c>
      <c r="V51" s="1">
        <v>13.2</v>
      </c>
      <c r="W51" s="2">
        <f t="shared" si="21"/>
        <v>1.8000000000000007</v>
      </c>
      <c r="X51" s="1">
        <v>15</v>
      </c>
      <c r="Y51" s="2">
        <f t="shared" si="7"/>
        <v>6141.6000000000022</v>
      </c>
      <c r="Z51" s="3">
        <f t="shared" si="22"/>
        <v>0</v>
      </c>
      <c r="AA51" s="2">
        <f t="shared" si="23"/>
        <v>31.28</v>
      </c>
      <c r="AB51" s="6">
        <f t="shared" si="24"/>
        <v>24.36</v>
      </c>
      <c r="AC51" s="2">
        <f t="shared" si="25"/>
        <v>18</v>
      </c>
      <c r="AD51" s="5">
        <f t="shared" si="8"/>
        <v>8466</v>
      </c>
      <c r="AE51" s="3">
        <f t="shared" si="9"/>
        <v>0.70892647797688835</v>
      </c>
      <c r="AF51" s="2">
        <f t="shared" si="10"/>
        <v>0</v>
      </c>
      <c r="AG51" s="3">
        <f t="shared" si="11"/>
        <v>0</v>
      </c>
      <c r="AH51" s="2">
        <f t="shared" si="12"/>
        <v>400</v>
      </c>
      <c r="AI51" s="2">
        <f t="shared" si="13"/>
        <v>20</v>
      </c>
      <c r="AJ51" s="3">
        <f t="shared" si="14"/>
        <v>1.3333333333333333</v>
      </c>
      <c r="AK51" s="2">
        <f t="shared" si="26"/>
        <v>225</v>
      </c>
      <c r="AL51" s="2">
        <f t="shared" si="27"/>
        <v>1.44</v>
      </c>
      <c r="AM51" s="7">
        <f t="shared" si="15"/>
        <v>1.7777777777777777</v>
      </c>
      <c r="AN51" s="2">
        <f t="shared" si="16"/>
        <v>80</v>
      </c>
      <c r="AO51" s="2">
        <f t="shared" si="17"/>
        <v>4</v>
      </c>
      <c r="AP51" s="2">
        <f t="shared" si="18"/>
        <v>5</v>
      </c>
      <c r="AQ51" s="2">
        <f t="shared" si="20"/>
        <v>300</v>
      </c>
    </row>
    <row r="52" spans="1:43" x14ac:dyDescent="0.3">
      <c r="A52" s="14" t="s">
        <v>97</v>
      </c>
      <c r="B52" s="11" t="s">
        <v>70</v>
      </c>
      <c r="C52" s="2" t="s">
        <v>73</v>
      </c>
      <c r="D52" s="2" t="s">
        <v>74</v>
      </c>
      <c r="E52" s="2">
        <v>21.351385100000002</v>
      </c>
      <c r="F52" s="2">
        <v>39.9812917</v>
      </c>
      <c r="G52" s="11">
        <v>0</v>
      </c>
      <c r="H52" s="2">
        <v>0</v>
      </c>
      <c r="I52" s="12">
        <v>100</v>
      </c>
      <c r="J52" s="11">
        <v>35</v>
      </c>
      <c r="K52" s="2">
        <v>0</v>
      </c>
      <c r="L52" s="11">
        <v>24</v>
      </c>
      <c r="M52" s="2">
        <v>10200</v>
      </c>
      <c r="N52" s="2">
        <v>0</v>
      </c>
      <c r="O52" s="2">
        <v>0</v>
      </c>
      <c r="P52" s="2">
        <v>0</v>
      </c>
      <c r="Q52" s="11">
        <v>190</v>
      </c>
      <c r="R52" s="11">
        <v>5</v>
      </c>
      <c r="S52" s="2">
        <v>0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7"/>
        <v>6960.4799999999968</v>
      </c>
      <c r="Z52" s="3">
        <f t="shared" si="22"/>
        <v>0</v>
      </c>
      <c r="AA52" s="2">
        <f t="shared" si="23"/>
        <v>31.28</v>
      </c>
      <c r="AB52" s="6">
        <f t="shared" si="24"/>
        <v>24.36</v>
      </c>
      <c r="AC52" s="2">
        <f t="shared" si="25"/>
        <v>24</v>
      </c>
      <c r="AD52" s="5">
        <f t="shared" si="8"/>
        <v>8466</v>
      </c>
      <c r="AE52" s="3">
        <f t="shared" si="9"/>
        <v>0.70892647797688835</v>
      </c>
      <c r="AF52" s="2">
        <f t="shared" si="10"/>
        <v>0</v>
      </c>
      <c r="AG52" s="3">
        <f t="shared" si="11"/>
        <v>0</v>
      </c>
      <c r="AH52" s="2">
        <f t="shared" si="12"/>
        <v>475</v>
      </c>
      <c r="AI52" s="2">
        <f t="shared" si="13"/>
        <v>23.75</v>
      </c>
      <c r="AJ52" s="3">
        <f t="shared" si="14"/>
        <v>1.3970588235294117</v>
      </c>
      <c r="AK52" s="2">
        <f t="shared" si="26"/>
        <v>300</v>
      </c>
      <c r="AL52" s="2">
        <f t="shared" si="27"/>
        <v>1.92</v>
      </c>
      <c r="AM52" s="7">
        <f t="shared" si="15"/>
        <v>1.5833333333333333</v>
      </c>
      <c r="AN52" s="2">
        <f t="shared" si="16"/>
        <v>95</v>
      </c>
      <c r="AO52" s="2">
        <f t="shared" si="17"/>
        <v>4.75</v>
      </c>
      <c r="AP52" s="2">
        <f t="shared" si="18"/>
        <v>5</v>
      </c>
      <c r="AQ52" s="2">
        <f t="shared" si="20"/>
        <v>340</v>
      </c>
    </row>
    <row r="53" spans="1:43" x14ac:dyDescent="0.3">
      <c r="A53" s="14" t="s">
        <v>98</v>
      </c>
      <c r="B53" s="11" t="s">
        <v>70</v>
      </c>
      <c r="C53" s="2" t="s">
        <v>73</v>
      </c>
      <c r="D53" s="2" t="s">
        <v>75</v>
      </c>
      <c r="E53" s="2">
        <v>21.3599709</v>
      </c>
      <c r="F53" s="2">
        <v>39.912273300000003</v>
      </c>
      <c r="G53" s="11">
        <v>0</v>
      </c>
      <c r="H53" s="2">
        <v>0</v>
      </c>
      <c r="I53" s="12">
        <v>100</v>
      </c>
      <c r="J53" s="11">
        <v>45</v>
      </c>
      <c r="K53" s="2">
        <v>0</v>
      </c>
      <c r="L53" s="11">
        <v>15</v>
      </c>
      <c r="M53" s="2">
        <v>10200</v>
      </c>
      <c r="N53" s="2">
        <v>0</v>
      </c>
      <c r="O53" s="2">
        <v>0</v>
      </c>
      <c r="P53" s="2">
        <v>0</v>
      </c>
      <c r="Q53" s="11">
        <v>190</v>
      </c>
      <c r="R53" s="11">
        <v>4</v>
      </c>
      <c r="S53" s="2">
        <v>0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7"/>
        <v>6960.4799999999968</v>
      </c>
      <c r="Z53" s="3">
        <f t="shared" si="22"/>
        <v>0</v>
      </c>
      <c r="AA53" s="2">
        <f t="shared" si="23"/>
        <v>31.28</v>
      </c>
      <c r="AB53" s="6">
        <f t="shared" si="24"/>
        <v>31.32</v>
      </c>
      <c r="AC53" s="2">
        <f t="shared" si="25"/>
        <v>15</v>
      </c>
      <c r="AD53" s="5">
        <f t="shared" si="8"/>
        <v>8466</v>
      </c>
      <c r="AE53" s="3">
        <f t="shared" si="9"/>
        <v>0.70892647797688835</v>
      </c>
      <c r="AF53" s="2">
        <f t="shared" si="10"/>
        <v>0</v>
      </c>
      <c r="AG53" s="3">
        <f t="shared" si="11"/>
        <v>0</v>
      </c>
      <c r="AH53" s="2">
        <f t="shared" si="12"/>
        <v>380</v>
      </c>
      <c r="AI53" s="2">
        <f t="shared" si="13"/>
        <v>19</v>
      </c>
      <c r="AJ53" s="3">
        <f t="shared" si="14"/>
        <v>1.1176470588235294</v>
      </c>
      <c r="AK53" s="2">
        <f t="shared" si="26"/>
        <v>187.5</v>
      </c>
      <c r="AL53" s="2">
        <f t="shared" si="27"/>
        <v>1.2</v>
      </c>
      <c r="AM53" s="7">
        <f t="shared" si="15"/>
        <v>2.0266666666666668</v>
      </c>
      <c r="AN53" s="2">
        <f t="shared" si="16"/>
        <v>76</v>
      </c>
      <c r="AO53" s="2">
        <f t="shared" si="17"/>
        <v>3.8</v>
      </c>
      <c r="AP53" s="2">
        <f t="shared" si="18"/>
        <v>5</v>
      </c>
      <c r="AQ53" s="2">
        <f t="shared" si="20"/>
        <v>340</v>
      </c>
    </row>
    <row r="54" spans="1:43" x14ac:dyDescent="0.3">
      <c r="A54" s="14" t="s">
        <v>99</v>
      </c>
      <c r="B54" s="11" t="s">
        <v>70</v>
      </c>
      <c r="C54" s="2" t="s">
        <v>73</v>
      </c>
      <c r="D54" s="2" t="s">
        <v>75</v>
      </c>
      <c r="E54" s="2">
        <v>21.360682000000001</v>
      </c>
      <c r="F54" s="2">
        <v>39.916155000000003</v>
      </c>
      <c r="G54" s="11">
        <v>0</v>
      </c>
      <c r="H54" s="2">
        <v>0</v>
      </c>
      <c r="I54" s="12">
        <v>100</v>
      </c>
      <c r="J54" s="11">
        <v>45</v>
      </c>
      <c r="K54" s="2">
        <v>0</v>
      </c>
      <c r="L54" s="11">
        <v>18</v>
      </c>
      <c r="M54" s="2">
        <v>10200</v>
      </c>
      <c r="N54" s="2">
        <v>0</v>
      </c>
      <c r="O54" s="2">
        <v>0</v>
      </c>
      <c r="P54" s="2">
        <v>0</v>
      </c>
      <c r="Q54" s="11">
        <v>190</v>
      </c>
      <c r="R54" s="11">
        <v>4</v>
      </c>
      <c r="S54" s="2">
        <v>0</v>
      </c>
      <c r="T54" s="2">
        <v>0.5</v>
      </c>
      <c r="U54" s="2">
        <v>0.8</v>
      </c>
      <c r="V54" s="1">
        <v>14.96</v>
      </c>
      <c r="W54" s="2">
        <f t="shared" si="21"/>
        <v>2.0399999999999991</v>
      </c>
      <c r="X54" s="1">
        <v>17</v>
      </c>
      <c r="Y54" s="2">
        <f t="shared" si="7"/>
        <v>6960.4799999999968</v>
      </c>
      <c r="Z54" s="3">
        <f t="shared" si="22"/>
        <v>0</v>
      </c>
      <c r="AA54" s="2">
        <f t="shared" si="23"/>
        <v>31.28</v>
      </c>
      <c r="AB54" s="6">
        <f t="shared" si="24"/>
        <v>31.32</v>
      </c>
      <c r="AC54" s="2">
        <f t="shared" si="25"/>
        <v>18</v>
      </c>
      <c r="AD54" s="5">
        <f t="shared" si="8"/>
        <v>8466</v>
      </c>
      <c r="AE54" s="3">
        <f t="shared" si="9"/>
        <v>0.70892647797688835</v>
      </c>
      <c r="AF54" s="2">
        <f t="shared" si="10"/>
        <v>0</v>
      </c>
      <c r="AG54" s="3">
        <f t="shared" si="11"/>
        <v>0</v>
      </c>
      <c r="AH54" s="2">
        <f t="shared" si="12"/>
        <v>380</v>
      </c>
      <c r="AI54" s="2">
        <f t="shared" si="13"/>
        <v>19</v>
      </c>
      <c r="AJ54" s="3">
        <f t="shared" si="14"/>
        <v>1.1176470588235294</v>
      </c>
      <c r="AK54" s="2">
        <f t="shared" si="26"/>
        <v>225</v>
      </c>
      <c r="AL54" s="2">
        <f t="shared" si="27"/>
        <v>1.44</v>
      </c>
      <c r="AM54" s="7">
        <f t="shared" si="15"/>
        <v>1.6888888888888889</v>
      </c>
      <c r="AN54" s="2">
        <f t="shared" si="16"/>
        <v>76</v>
      </c>
      <c r="AO54" s="2">
        <f t="shared" si="17"/>
        <v>3.8</v>
      </c>
      <c r="AP54" s="2">
        <f t="shared" si="18"/>
        <v>5</v>
      </c>
      <c r="AQ54" s="2">
        <f t="shared" si="20"/>
        <v>340</v>
      </c>
    </row>
    <row r="55" spans="1:43" x14ac:dyDescent="0.3">
      <c r="A55" s="14" t="s">
        <v>102</v>
      </c>
      <c r="B55" s="12" t="s">
        <v>70</v>
      </c>
      <c r="C55" s="1" t="s">
        <v>73</v>
      </c>
      <c r="D55" s="1" t="s">
        <v>75</v>
      </c>
      <c r="E55" s="1">
        <v>21.386633</v>
      </c>
      <c r="F55" s="1">
        <v>39.911309000000003</v>
      </c>
      <c r="G55" s="11">
        <v>0</v>
      </c>
      <c r="H55" s="2">
        <v>0</v>
      </c>
      <c r="I55" s="11">
        <v>100</v>
      </c>
      <c r="J55" s="11">
        <v>35</v>
      </c>
      <c r="K55" s="2">
        <v>0</v>
      </c>
      <c r="L55" s="11">
        <v>24</v>
      </c>
      <c r="M55" s="2">
        <v>10200</v>
      </c>
      <c r="N55" s="2">
        <v>0</v>
      </c>
      <c r="O55" s="2">
        <v>0</v>
      </c>
      <c r="P55" s="2">
        <v>0</v>
      </c>
      <c r="Q55" s="11">
        <v>190</v>
      </c>
      <c r="R55" s="11">
        <v>4</v>
      </c>
      <c r="S55" s="2">
        <v>0</v>
      </c>
      <c r="T55" s="2">
        <v>0.5</v>
      </c>
      <c r="U55" s="2">
        <v>0.8</v>
      </c>
      <c r="V55" s="2">
        <f>X55*0.88</f>
        <v>14.96</v>
      </c>
      <c r="W55" s="2">
        <f>X55-V55</f>
        <v>2.0399999999999991</v>
      </c>
      <c r="X55" s="1">
        <v>17</v>
      </c>
      <c r="Y55" s="2">
        <f t="shared" si="7"/>
        <v>6960.4799999999968</v>
      </c>
      <c r="Z55" s="3">
        <f t="shared" si="22"/>
        <v>0</v>
      </c>
      <c r="AA55" s="2">
        <f t="shared" si="23"/>
        <v>31.28</v>
      </c>
      <c r="AB55" s="6">
        <f t="shared" si="24"/>
        <v>24.36</v>
      </c>
      <c r="AC55" s="2">
        <f t="shared" si="25"/>
        <v>24</v>
      </c>
      <c r="AD55" s="5">
        <f t="shared" si="8"/>
        <v>8466</v>
      </c>
      <c r="AE55" s="3">
        <f t="shared" ref="AE55:AE64" si="28">(M55*0.83)/(3.5*3412)</f>
        <v>0.70892647797688835</v>
      </c>
      <c r="AF55" s="2">
        <f t="shared" ref="AF55:AF64" si="29">O55*0.83*(1-1.5%*P55)</f>
        <v>0</v>
      </c>
      <c r="AG55" s="3">
        <f t="shared" ref="AG55:AG64" si="30">(O55*0.83)/(3.5*3412)</f>
        <v>0</v>
      </c>
      <c r="AH55" s="2">
        <f t="shared" ref="AH55:AH64" si="31">IF(P55&lt;6,Q55*R55*50%*(1-P55*20%),0)</f>
        <v>380</v>
      </c>
      <c r="AI55" s="2">
        <f t="shared" ref="AI55:AI64" si="32">AH55*50/1000</f>
        <v>19</v>
      </c>
      <c r="AJ55" s="3">
        <f t="shared" ref="AJ55:AJ64" si="33">AI55/X55</f>
        <v>1.1176470588235294</v>
      </c>
      <c r="AK55" s="2">
        <f t="shared" si="26"/>
        <v>300</v>
      </c>
      <c r="AL55" s="2">
        <f t="shared" si="27"/>
        <v>1.92</v>
      </c>
      <c r="AM55" s="7">
        <f t="shared" ref="AM55:AM64" si="34">AH55/AK55</f>
        <v>1.2666666666666666</v>
      </c>
      <c r="AN55" s="2">
        <f t="shared" ref="AN55:AN64" si="35">Q55*R55*0.1</f>
        <v>76</v>
      </c>
      <c r="AO55" s="2">
        <f t="shared" ref="AO55:AO64" si="36">AN55*50/1000</f>
        <v>3.8</v>
      </c>
      <c r="AP55" s="2">
        <f t="shared" ref="AP55:AP64" si="37">AH55/AN55</f>
        <v>5</v>
      </c>
      <c r="AQ55" s="2">
        <f t="shared" ref="AQ55:AQ64" si="38">X55*1000/50</f>
        <v>340</v>
      </c>
    </row>
    <row r="56" spans="1:43" x14ac:dyDescent="0.3">
      <c r="A56" s="14" t="s">
        <v>103</v>
      </c>
      <c r="B56" s="12" t="s">
        <v>70</v>
      </c>
      <c r="C56" s="1" t="s">
        <v>73</v>
      </c>
      <c r="D56" s="1" t="s">
        <v>100</v>
      </c>
      <c r="E56" s="1">
        <v>21.418835000000001</v>
      </c>
      <c r="F56" s="1">
        <v>39.892713000000001</v>
      </c>
      <c r="G56" s="11">
        <v>0</v>
      </c>
      <c r="H56" s="2">
        <v>0</v>
      </c>
      <c r="I56" s="11">
        <v>100</v>
      </c>
      <c r="J56" s="11">
        <v>25</v>
      </c>
      <c r="K56" s="2">
        <v>0</v>
      </c>
      <c r="L56" s="11">
        <v>18</v>
      </c>
      <c r="M56" s="2">
        <v>10200</v>
      </c>
      <c r="N56" s="2">
        <v>0</v>
      </c>
      <c r="O56" s="2">
        <v>0</v>
      </c>
      <c r="P56" s="2">
        <v>0</v>
      </c>
      <c r="Q56" s="11">
        <v>200</v>
      </c>
      <c r="R56" s="11">
        <v>4</v>
      </c>
      <c r="S56" s="2">
        <v>0</v>
      </c>
      <c r="T56" s="2">
        <v>0.5</v>
      </c>
      <c r="U56" s="2">
        <v>0.8</v>
      </c>
      <c r="V56" s="2">
        <f t="shared" ref="V56:V64" si="39">X56*0.88</f>
        <v>10.56</v>
      </c>
      <c r="W56" s="2">
        <f t="shared" ref="W56:W64" si="40">X56-V56</f>
        <v>1.4399999999999995</v>
      </c>
      <c r="X56" s="1">
        <v>12</v>
      </c>
      <c r="Y56" s="2">
        <f t="shared" si="7"/>
        <v>4913.2799999999979</v>
      </c>
      <c r="Z56" s="3">
        <f t="shared" si="22"/>
        <v>0</v>
      </c>
      <c r="AA56" s="2">
        <f t="shared" si="23"/>
        <v>31.28</v>
      </c>
      <c r="AB56" s="6">
        <f t="shared" si="24"/>
        <v>17.399999999999999</v>
      </c>
      <c r="AC56" s="2">
        <f t="shared" si="25"/>
        <v>18</v>
      </c>
      <c r="AD56" s="5">
        <f t="shared" si="8"/>
        <v>8466</v>
      </c>
      <c r="AE56" s="3">
        <f t="shared" si="28"/>
        <v>0.70892647797688835</v>
      </c>
      <c r="AF56" s="2">
        <f t="shared" si="29"/>
        <v>0</v>
      </c>
      <c r="AG56" s="3">
        <f t="shared" si="30"/>
        <v>0</v>
      </c>
      <c r="AH56" s="2">
        <f t="shared" si="31"/>
        <v>400</v>
      </c>
      <c r="AI56" s="2">
        <f t="shared" si="32"/>
        <v>20</v>
      </c>
      <c r="AJ56" s="3">
        <f t="shared" si="33"/>
        <v>1.6666666666666667</v>
      </c>
      <c r="AK56" s="2">
        <f t="shared" si="26"/>
        <v>225</v>
      </c>
      <c r="AL56" s="2">
        <f t="shared" si="27"/>
        <v>1.44</v>
      </c>
      <c r="AM56" s="7">
        <f t="shared" si="34"/>
        <v>1.7777777777777777</v>
      </c>
      <c r="AN56" s="2">
        <f t="shared" si="35"/>
        <v>80</v>
      </c>
      <c r="AO56" s="2">
        <f t="shared" si="36"/>
        <v>4</v>
      </c>
      <c r="AP56" s="2">
        <f t="shared" si="37"/>
        <v>5</v>
      </c>
      <c r="AQ56" s="2">
        <f t="shared" si="38"/>
        <v>240</v>
      </c>
    </row>
    <row r="57" spans="1:43" x14ac:dyDescent="0.3">
      <c r="A57" s="16" t="s">
        <v>104</v>
      </c>
      <c r="B57" s="12" t="s">
        <v>70</v>
      </c>
      <c r="C57" s="1" t="s">
        <v>73</v>
      </c>
      <c r="D57" s="1" t="s">
        <v>100</v>
      </c>
      <c r="E57" s="1">
        <v>21.417781999999999</v>
      </c>
      <c r="F57" s="1">
        <v>39.910356</v>
      </c>
      <c r="G57" s="11">
        <v>0</v>
      </c>
      <c r="H57" s="2">
        <v>0</v>
      </c>
      <c r="I57" s="11">
        <v>100</v>
      </c>
      <c r="J57" s="11">
        <v>25</v>
      </c>
      <c r="K57" s="2">
        <v>0</v>
      </c>
      <c r="L57" s="11">
        <v>18</v>
      </c>
      <c r="M57" s="2">
        <v>10200</v>
      </c>
      <c r="N57" s="2">
        <v>0</v>
      </c>
      <c r="O57" s="2">
        <v>0</v>
      </c>
      <c r="P57" s="2">
        <v>0</v>
      </c>
      <c r="Q57" s="11">
        <v>200</v>
      </c>
      <c r="R57" s="11">
        <v>4</v>
      </c>
      <c r="S57" s="2">
        <v>0</v>
      </c>
      <c r="T57" s="2">
        <v>0.5</v>
      </c>
      <c r="U57" s="2">
        <v>0.8</v>
      </c>
      <c r="V57" s="2">
        <f t="shared" si="39"/>
        <v>10.56</v>
      </c>
      <c r="W57" s="2">
        <f t="shared" si="40"/>
        <v>1.4399999999999995</v>
      </c>
      <c r="X57" s="1">
        <v>12</v>
      </c>
      <c r="Y57" s="2">
        <f t="shared" si="7"/>
        <v>4913.2799999999979</v>
      </c>
      <c r="Z57" s="3">
        <f t="shared" si="22"/>
        <v>0</v>
      </c>
      <c r="AA57" s="2">
        <f t="shared" si="23"/>
        <v>31.28</v>
      </c>
      <c r="AB57" s="6">
        <f t="shared" si="24"/>
        <v>17.399999999999999</v>
      </c>
      <c r="AC57" s="2">
        <f t="shared" si="25"/>
        <v>18</v>
      </c>
      <c r="AD57" s="5">
        <f t="shared" si="8"/>
        <v>8466</v>
      </c>
      <c r="AE57" s="3">
        <f t="shared" si="28"/>
        <v>0.70892647797688835</v>
      </c>
      <c r="AF57" s="2">
        <f t="shared" si="29"/>
        <v>0</v>
      </c>
      <c r="AG57" s="3">
        <f t="shared" si="30"/>
        <v>0</v>
      </c>
      <c r="AH57" s="2">
        <f t="shared" si="31"/>
        <v>400</v>
      </c>
      <c r="AI57" s="2">
        <f t="shared" si="32"/>
        <v>20</v>
      </c>
      <c r="AJ57" s="3">
        <f t="shared" si="33"/>
        <v>1.6666666666666667</v>
      </c>
      <c r="AK57" s="2">
        <f t="shared" si="26"/>
        <v>225</v>
      </c>
      <c r="AL57" s="2">
        <f t="shared" si="27"/>
        <v>1.44</v>
      </c>
      <c r="AM57" s="7">
        <f t="shared" si="34"/>
        <v>1.7777777777777777</v>
      </c>
      <c r="AN57" s="2">
        <f t="shared" si="35"/>
        <v>80</v>
      </c>
      <c r="AO57" s="2">
        <f t="shared" si="36"/>
        <v>4</v>
      </c>
      <c r="AP57" s="2">
        <f t="shared" si="37"/>
        <v>5</v>
      </c>
      <c r="AQ57" s="2">
        <f t="shared" si="38"/>
        <v>240</v>
      </c>
    </row>
    <row r="58" spans="1:43" x14ac:dyDescent="0.3">
      <c r="A58" s="14" t="s">
        <v>105</v>
      </c>
      <c r="B58" s="12" t="s">
        <v>70</v>
      </c>
      <c r="C58" s="1" t="s">
        <v>73</v>
      </c>
      <c r="D58" s="1" t="s">
        <v>100</v>
      </c>
      <c r="E58" s="1">
        <v>21.402750000000001</v>
      </c>
      <c r="F58" s="1">
        <v>39.897509999999997</v>
      </c>
      <c r="G58" s="11">
        <v>0</v>
      </c>
      <c r="H58" s="2">
        <v>0</v>
      </c>
      <c r="I58" s="11">
        <v>100</v>
      </c>
      <c r="J58" s="11">
        <v>25</v>
      </c>
      <c r="K58" s="2">
        <v>0</v>
      </c>
      <c r="L58" s="11">
        <v>18</v>
      </c>
      <c r="M58" s="2">
        <v>10200</v>
      </c>
      <c r="N58" s="2">
        <v>0</v>
      </c>
      <c r="O58" s="2">
        <v>0</v>
      </c>
      <c r="P58" s="2">
        <v>0</v>
      </c>
      <c r="Q58" s="11">
        <v>200</v>
      </c>
      <c r="R58" s="11">
        <v>4</v>
      </c>
      <c r="S58" s="2">
        <v>0</v>
      </c>
      <c r="T58" s="2">
        <v>0.5</v>
      </c>
      <c r="U58" s="2">
        <v>0.8</v>
      </c>
      <c r="V58" s="2">
        <f t="shared" si="39"/>
        <v>10.56</v>
      </c>
      <c r="W58" s="2">
        <f t="shared" si="40"/>
        <v>1.4399999999999995</v>
      </c>
      <c r="X58" s="1">
        <v>12</v>
      </c>
      <c r="Y58" s="2">
        <f t="shared" si="7"/>
        <v>4913.2799999999979</v>
      </c>
      <c r="Z58" s="3">
        <f t="shared" si="22"/>
        <v>0</v>
      </c>
      <c r="AA58" s="2">
        <f t="shared" si="23"/>
        <v>31.28</v>
      </c>
      <c r="AB58" s="6">
        <f t="shared" si="24"/>
        <v>17.399999999999999</v>
      </c>
      <c r="AC58" s="2">
        <f t="shared" si="25"/>
        <v>18</v>
      </c>
      <c r="AD58" s="5">
        <f t="shared" si="8"/>
        <v>8466</v>
      </c>
      <c r="AE58" s="3">
        <f t="shared" si="28"/>
        <v>0.70892647797688835</v>
      </c>
      <c r="AF58" s="2">
        <f t="shared" si="29"/>
        <v>0</v>
      </c>
      <c r="AG58" s="3">
        <f t="shared" si="30"/>
        <v>0</v>
      </c>
      <c r="AH58" s="2">
        <f t="shared" si="31"/>
        <v>400</v>
      </c>
      <c r="AI58" s="2">
        <f t="shared" si="32"/>
        <v>20</v>
      </c>
      <c r="AJ58" s="3">
        <f t="shared" si="33"/>
        <v>1.6666666666666667</v>
      </c>
      <c r="AK58" s="2">
        <f t="shared" si="26"/>
        <v>225</v>
      </c>
      <c r="AL58" s="2">
        <f t="shared" si="27"/>
        <v>1.44</v>
      </c>
      <c r="AM58" s="7">
        <f t="shared" si="34"/>
        <v>1.7777777777777777</v>
      </c>
      <c r="AN58" s="2">
        <f t="shared" si="35"/>
        <v>80</v>
      </c>
      <c r="AO58" s="2">
        <f t="shared" si="36"/>
        <v>4</v>
      </c>
      <c r="AP58" s="2">
        <f t="shared" si="37"/>
        <v>5</v>
      </c>
      <c r="AQ58" s="2">
        <f t="shared" si="38"/>
        <v>240</v>
      </c>
    </row>
    <row r="59" spans="1:43" x14ac:dyDescent="0.3">
      <c r="A59" s="16" t="s">
        <v>106</v>
      </c>
      <c r="B59" s="12" t="s">
        <v>71</v>
      </c>
      <c r="C59" s="1" t="s">
        <v>73</v>
      </c>
      <c r="D59" s="1" t="s">
        <v>100</v>
      </c>
      <c r="E59" s="1">
        <v>21.423459999999999</v>
      </c>
      <c r="F59" s="1">
        <v>39.895339999999997</v>
      </c>
      <c r="G59" s="11">
        <v>35</v>
      </c>
      <c r="H59" s="2">
        <v>0</v>
      </c>
      <c r="I59" s="11">
        <v>0</v>
      </c>
      <c r="J59" s="11">
        <v>0</v>
      </c>
      <c r="K59" s="2">
        <v>0</v>
      </c>
      <c r="L59" s="11">
        <v>15</v>
      </c>
      <c r="M59" s="2">
        <v>10200</v>
      </c>
      <c r="N59" s="2">
        <v>0</v>
      </c>
      <c r="O59" s="2">
        <v>0</v>
      </c>
      <c r="P59" s="2">
        <v>0</v>
      </c>
      <c r="Q59" s="11">
        <v>200</v>
      </c>
      <c r="R59" s="11">
        <v>4</v>
      </c>
      <c r="S59" s="2">
        <v>0</v>
      </c>
      <c r="T59" s="2">
        <v>0.5</v>
      </c>
      <c r="U59" s="2">
        <v>0.8</v>
      </c>
      <c r="V59" s="2">
        <f t="shared" si="39"/>
        <v>10.56</v>
      </c>
      <c r="W59" s="2">
        <f t="shared" si="40"/>
        <v>1.4399999999999995</v>
      </c>
      <c r="X59" s="1">
        <v>12</v>
      </c>
      <c r="Y59" s="2">
        <f t="shared" si="7"/>
        <v>4913.2799999999979</v>
      </c>
      <c r="Z59" s="3">
        <f t="shared" si="22"/>
        <v>24.36</v>
      </c>
      <c r="AA59" s="2">
        <f t="shared" si="23"/>
        <v>0</v>
      </c>
      <c r="AB59" s="6">
        <f t="shared" si="24"/>
        <v>0</v>
      </c>
      <c r="AC59" s="2">
        <f t="shared" si="25"/>
        <v>15</v>
      </c>
      <c r="AD59" s="5">
        <f t="shared" si="8"/>
        <v>8466</v>
      </c>
      <c r="AE59" s="3">
        <f t="shared" si="28"/>
        <v>0.70892647797688835</v>
      </c>
      <c r="AF59" s="2">
        <f t="shared" si="29"/>
        <v>0</v>
      </c>
      <c r="AG59" s="3">
        <f t="shared" si="30"/>
        <v>0</v>
      </c>
      <c r="AH59" s="2">
        <f t="shared" si="31"/>
        <v>400</v>
      </c>
      <c r="AI59" s="2">
        <f t="shared" si="32"/>
        <v>20</v>
      </c>
      <c r="AJ59" s="3">
        <f t="shared" si="33"/>
        <v>1.6666666666666667</v>
      </c>
      <c r="AK59" s="2">
        <f t="shared" si="26"/>
        <v>187.5</v>
      </c>
      <c r="AL59" s="2">
        <f t="shared" si="27"/>
        <v>1.2</v>
      </c>
      <c r="AM59" s="7">
        <f t="shared" si="34"/>
        <v>2.1333333333333333</v>
      </c>
      <c r="AN59" s="2">
        <f t="shared" si="35"/>
        <v>80</v>
      </c>
      <c r="AO59" s="2">
        <f t="shared" si="36"/>
        <v>4</v>
      </c>
      <c r="AP59" s="2">
        <f t="shared" si="37"/>
        <v>5</v>
      </c>
      <c r="AQ59" s="2">
        <f t="shared" si="38"/>
        <v>240</v>
      </c>
    </row>
    <row r="60" spans="1:43" x14ac:dyDescent="0.3">
      <c r="A60" s="14" t="s">
        <v>107</v>
      </c>
      <c r="B60" s="12" t="s">
        <v>70</v>
      </c>
      <c r="C60" s="1" t="s">
        <v>72</v>
      </c>
      <c r="D60" s="1" t="s">
        <v>75</v>
      </c>
      <c r="E60" s="1">
        <v>21.3934192</v>
      </c>
      <c r="F60" s="1">
        <v>39.9166466</v>
      </c>
      <c r="G60" s="11">
        <v>0</v>
      </c>
      <c r="H60" s="2">
        <v>0</v>
      </c>
      <c r="I60" s="11">
        <v>100</v>
      </c>
      <c r="J60" s="11">
        <v>25</v>
      </c>
      <c r="K60" s="2">
        <v>0</v>
      </c>
      <c r="L60" s="11">
        <v>24</v>
      </c>
      <c r="M60" s="2">
        <v>36000</v>
      </c>
      <c r="N60" s="2">
        <v>0</v>
      </c>
      <c r="O60" s="2">
        <v>36000</v>
      </c>
      <c r="P60" s="2">
        <v>0</v>
      </c>
      <c r="Q60" s="11">
        <v>100</v>
      </c>
      <c r="R60" s="11">
        <v>3</v>
      </c>
      <c r="S60" s="2">
        <v>0</v>
      </c>
      <c r="T60" s="2">
        <v>0.5</v>
      </c>
      <c r="U60" s="2">
        <v>0.8</v>
      </c>
      <c r="V60" s="2">
        <f t="shared" si="39"/>
        <v>10.56</v>
      </c>
      <c r="W60" s="2">
        <f t="shared" si="40"/>
        <v>1.4399999999999995</v>
      </c>
      <c r="X60" s="1">
        <v>12</v>
      </c>
      <c r="Y60" s="2">
        <f t="shared" si="7"/>
        <v>4913.2799999999979</v>
      </c>
      <c r="Z60" s="3">
        <f t="shared" si="22"/>
        <v>0</v>
      </c>
      <c r="AA60" s="2">
        <f t="shared" si="23"/>
        <v>31.28</v>
      </c>
      <c r="AB60" s="6">
        <f t="shared" si="24"/>
        <v>17.399999999999999</v>
      </c>
      <c r="AC60" s="2">
        <f t="shared" si="25"/>
        <v>24</v>
      </c>
      <c r="AD60" s="5">
        <f t="shared" si="8"/>
        <v>29880</v>
      </c>
      <c r="AE60" s="3">
        <f t="shared" si="28"/>
        <v>2.5020934516831352</v>
      </c>
      <c r="AF60" s="2">
        <f t="shared" si="29"/>
        <v>29880</v>
      </c>
      <c r="AG60" s="3">
        <f t="shared" si="30"/>
        <v>2.5020934516831352</v>
      </c>
      <c r="AH60" s="2">
        <f t="shared" si="31"/>
        <v>150</v>
      </c>
      <c r="AI60" s="2">
        <f t="shared" si="32"/>
        <v>7.5</v>
      </c>
      <c r="AJ60" s="3">
        <f t="shared" si="33"/>
        <v>0.625</v>
      </c>
      <c r="AK60" s="2">
        <f t="shared" si="26"/>
        <v>300</v>
      </c>
      <c r="AL60" s="2">
        <f t="shared" si="27"/>
        <v>1.92</v>
      </c>
      <c r="AM60" s="7">
        <f t="shared" si="34"/>
        <v>0.5</v>
      </c>
      <c r="AN60" s="2">
        <f t="shared" si="35"/>
        <v>30</v>
      </c>
      <c r="AO60" s="2">
        <f t="shared" si="36"/>
        <v>1.5</v>
      </c>
      <c r="AP60" s="2">
        <f t="shared" si="37"/>
        <v>5</v>
      </c>
      <c r="AQ60" s="2">
        <f t="shared" si="38"/>
        <v>240</v>
      </c>
    </row>
    <row r="61" spans="1:43" x14ac:dyDescent="0.3">
      <c r="A61" s="16" t="s">
        <v>108</v>
      </c>
      <c r="B61" s="12" t="s">
        <v>71</v>
      </c>
      <c r="C61" s="1" t="s">
        <v>72</v>
      </c>
      <c r="D61" s="1" t="s">
        <v>100</v>
      </c>
      <c r="E61" s="1">
        <v>21.420449999999999</v>
      </c>
      <c r="F61" s="1">
        <v>39.871420000000001</v>
      </c>
      <c r="G61" s="11">
        <v>35</v>
      </c>
      <c r="H61" s="2">
        <v>0</v>
      </c>
      <c r="I61" s="11">
        <v>0</v>
      </c>
      <c r="J61" s="11">
        <v>0</v>
      </c>
      <c r="K61" s="2">
        <v>0</v>
      </c>
      <c r="L61" s="11">
        <v>19.2</v>
      </c>
      <c r="M61" s="2">
        <v>36000</v>
      </c>
      <c r="N61" s="2">
        <v>0</v>
      </c>
      <c r="O61" s="2">
        <v>36000</v>
      </c>
      <c r="P61" s="2">
        <v>0</v>
      </c>
      <c r="Q61" s="11">
        <v>190</v>
      </c>
      <c r="R61" s="11">
        <v>3</v>
      </c>
      <c r="S61" s="2">
        <v>0</v>
      </c>
      <c r="T61" s="2">
        <v>0.5</v>
      </c>
      <c r="U61" s="2">
        <v>0.8</v>
      </c>
      <c r="V61" s="2">
        <f t="shared" si="39"/>
        <v>13.2</v>
      </c>
      <c r="W61" s="2">
        <f t="shared" si="40"/>
        <v>1.8000000000000007</v>
      </c>
      <c r="X61" s="1">
        <v>15</v>
      </c>
      <c r="Y61" s="2">
        <f t="shared" si="7"/>
        <v>6141.6000000000022</v>
      </c>
      <c r="Z61" s="3">
        <f t="shared" si="22"/>
        <v>24.36</v>
      </c>
      <c r="AA61" s="2">
        <f t="shared" si="23"/>
        <v>0</v>
      </c>
      <c r="AB61" s="6">
        <f t="shared" si="24"/>
        <v>0</v>
      </c>
      <c r="AC61" s="2">
        <f t="shared" si="25"/>
        <v>19.2</v>
      </c>
      <c r="AD61" s="5">
        <f t="shared" si="8"/>
        <v>29880</v>
      </c>
      <c r="AE61" s="3">
        <f t="shared" si="28"/>
        <v>2.5020934516831352</v>
      </c>
      <c r="AF61" s="2">
        <f t="shared" si="29"/>
        <v>29880</v>
      </c>
      <c r="AG61" s="3">
        <f t="shared" si="30"/>
        <v>2.5020934516831352</v>
      </c>
      <c r="AH61" s="2">
        <f t="shared" si="31"/>
        <v>285</v>
      </c>
      <c r="AI61" s="2">
        <f t="shared" si="32"/>
        <v>14.25</v>
      </c>
      <c r="AJ61" s="3">
        <f t="shared" si="33"/>
        <v>0.95</v>
      </c>
      <c r="AK61" s="2">
        <f t="shared" si="26"/>
        <v>240</v>
      </c>
      <c r="AL61" s="2">
        <f t="shared" si="27"/>
        <v>1.536</v>
      </c>
      <c r="AM61" s="7">
        <f t="shared" si="34"/>
        <v>1.1875</v>
      </c>
      <c r="AN61" s="2">
        <f t="shared" si="35"/>
        <v>57</v>
      </c>
      <c r="AO61" s="2">
        <f t="shared" si="36"/>
        <v>2.85</v>
      </c>
      <c r="AP61" s="2">
        <f t="shared" si="37"/>
        <v>5</v>
      </c>
      <c r="AQ61" s="2">
        <f t="shared" si="38"/>
        <v>300</v>
      </c>
    </row>
    <row r="62" spans="1:43" x14ac:dyDescent="0.3">
      <c r="A62" s="14" t="s">
        <v>109</v>
      </c>
      <c r="B62" s="12" t="s">
        <v>70</v>
      </c>
      <c r="C62" s="1" t="s">
        <v>73</v>
      </c>
      <c r="D62" s="1" t="s">
        <v>100</v>
      </c>
      <c r="E62" s="1">
        <v>21.398381000000001</v>
      </c>
      <c r="F62" s="1">
        <v>39.897309999999997</v>
      </c>
      <c r="G62" s="11">
        <v>0</v>
      </c>
      <c r="H62" s="2">
        <v>0</v>
      </c>
      <c r="I62" s="11">
        <v>100</v>
      </c>
      <c r="J62" s="11">
        <v>45</v>
      </c>
      <c r="K62" s="2">
        <v>0</v>
      </c>
      <c r="L62" s="11">
        <v>18</v>
      </c>
      <c r="M62" s="2">
        <v>10200</v>
      </c>
      <c r="N62" s="2">
        <v>0</v>
      </c>
      <c r="O62" s="2">
        <v>0</v>
      </c>
      <c r="P62" s="2">
        <v>0</v>
      </c>
      <c r="Q62" s="11">
        <v>200</v>
      </c>
      <c r="R62" s="11">
        <v>4</v>
      </c>
      <c r="S62" s="2">
        <v>0</v>
      </c>
      <c r="T62" s="2">
        <v>0.5</v>
      </c>
      <c r="U62" s="2">
        <v>0.8</v>
      </c>
      <c r="V62" s="2">
        <f t="shared" si="39"/>
        <v>14.96</v>
      </c>
      <c r="W62" s="2">
        <f t="shared" si="40"/>
        <v>2.0399999999999991</v>
      </c>
      <c r="X62" s="1">
        <v>17</v>
      </c>
      <c r="Y62" s="2">
        <f t="shared" si="7"/>
        <v>6960.4799999999968</v>
      </c>
      <c r="Z62" s="3">
        <f t="shared" si="22"/>
        <v>0</v>
      </c>
      <c r="AA62" s="2">
        <f t="shared" si="23"/>
        <v>31.28</v>
      </c>
      <c r="AB62" s="6">
        <f t="shared" si="24"/>
        <v>31.32</v>
      </c>
      <c r="AC62" s="2">
        <f t="shared" si="25"/>
        <v>18</v>
      </c>
      <c r="AD62" s="5">
        <f t="shared" si="8"/>
        <v>8466</v>
      </c>
      <c r="AE62" s="3">
        <f t="shared" si="28"/>
        <v>0.70892647797688835</v>
      </c>
      <c r="AF62" s="2">
        <f t="shared" si="29"/>
        <v>0</v>
      </c>
      <c r="AG62" s="3">
        <f t="shared" si="30"/>
        <v>0</v>
      </c>
      <c r="AH62" s="2">
        <f t="shared" si="31"/>
        <v>400</v>
      </c>
      <c r="AI62" s="2">
        <f t="shared" si="32"/>
        <v>20</v>
      </c>
      <c r="AJ62" s="3">
        <f t="shared" si="33"/>
        <v>1.1764705882352942</v>
      </c>
      <c r="AK62" s="2">
        <f t="shared" si="26"/>
        <v>225</v>
      </c>
      <c r="AL62" s="2">
        <f t="shared" si="27"/>
        <v>1.44</v>
      </c>
      <c r="AM62" s="7">
        <f t="shared" si="34"/>
        <v>1.7777777777777777</v>
      </c>
      <c r="AN62" s="2">
        <f t="shared" si="35"/>
        <v>80</v>
      </c>
      <c r="AO62" s="2">
        <f t="shared" si="36"/>
        <v>4</v>
      </c>
      <c r="AP62" s="2">
        <f t="shared" si="37"/>
        <v>5</v>
      </c>
      <c r="AQ62" s="2">
        <f t="shared" si="38"/>
        <v>340</v>
      </c>
    </row>
    <row r="63" spans="1:43" x14ac:dyDescent="0.3">
      <c r="A63" s="14" t="s">
        <v>110</v>
      </c>
      <c r="B63" s="12" t="s">
        <v>70</v>
      </c>
      <c r="C63" s="1" t="s">
        <v>73</v>
      </c>
      <c r="D63" s="1" t="s">
        <v>75</v>
      </c>
      <c r="E63" s="1">
        <v>21.383140000000001</v>
      </c>
      <c r="F63" s="1">
        <v>39.904477999999997</v>
      </c>
      <c r="G63" s="11">
        <v>0</v>
      </c>
      <c r="H63" s="2">
        <v>0</v>
      </c>
      <c r="I63" s="11">
        <v>100</v>
      </c>
      <c r="J63" s="11">
        <v>35</v>
      </c>
      <c r="K63" s="2">
        <v>0</v>
      </c>
      <c r="L63" s="11">
        <v>21</v>
      </c>
      <c r="M63" s="2">
        <v>10200</v>
      </c>
      <c r="N63" s="2">
        <v>0</v>
      </c>
      <c r="O63" s="2">
        <v>0</v>
      </c>
      <c r="P63" s="2">
        <v>0</v>
      </c>
      <c r="Q63" s="11">
        <v>150</v>
      </c>
      <c r="R63" s="11">
        <v>3</v>
      </c>
      <c r="S63" s="2">
        <v>0</v>
      </c>
      <c r="T63" s="2">
        <v>0.5</v>
      </c>
      <c r="U63" s="2">
        <v>0.8</v>
      </c>
      <c r="V63" s="2">
        <f t="shared" si="39"/>
        <v>14.96</v>
      </c>
      <c r="W63" s="2">
        <f t="shared" si="40"/>
        <v>2.0399999999999991</v>
      </c>
      <c r="X63" s="1">
        <v>17</v>
      </c>
      <c r="Y63" s="2">
        <f t="shared" si="7"/>
        <v>6960.4799999999968</v>
      </c>
      <c r="Z63" s="3">
        <f t="shared" si="22"/>
        <v>0</v>
      </c>
      <c r="AA63" s="2">
        <f t="shared" si="23"/>
        <v>31.28</v>
      </c>
      <c r="AB63" s="6">
        <f t="shared" si="24"/>
        <v>24.36</v>
      </c>
      <c r="AC63" s="2">
        <f t="shared" si="25"/>
        <v>21</v>
      </c>
      <c r="AD63" s="5">
        <f t="shared" si="8"/>
        <v>8466</v>
      </c>
      <c r="AE63" s="3">
        <f t="shared" si="28"/>
        <v>0.70892647797688835</v>
      </c>
      <c r="AF63" s="2">
        <f t="shared" si="29"/>
        <v>0</v>
      </c>
      <c r="AG63" s="3">
        <f t="shared" si="30"/>
        <v>0</v>
      </c>
      <c r="AH63" s="2">
        <f t="shared" si="31"/>
        <v>225</v>
      </c>
      <c r="AI63" s="2">
        <f t="shared" si="32"/>
        <v>11.25</v>
      </c>
      <c r="AJ63" s="3">
        <f t="shared" si="33"/>
        <v>0.66176470588235292</v>
      </c>
      <c r="AK63" s="2">
        <f t="shared" si="26"/>
        <v>262.5</v>
      </c>
      <c r="AL63" s="2">
        <f t="shared" si="27"/>
        <v>1.68</v>
      </c>
      <c r="AM63" s="7">
        <f t="shared" si="34"/>
        <v>0.8571428571428571</v>
      </c>
      <c r="AN63" s="2">
        <f t="shared" si="35"/>
        <v>45</v>
      </c>
      <c r="AO63" s="2">
        <f t="shared" si="36"/>
        <v>2.25</v>
      </c>
      <c r="AP63" s="2">
        <f t="shared" si="37"/>
        <v>5</v>
      </c>
      <c r="AQ63" s="2">
        <f t="shared" si="38"/>
        <v>340</v>
      </c>
    </row>
    <row r="64" spans="1:43" x14ac:dyDescent="0.3">
      <c r="A64" s="16" t="s">
        <v>111</v>
      </c>
      <c r="B64" s="12" t="s">
        <v>71</v>
      </c>
      <c r="C64" s="1" t="s">
        <v>72</v>
      </c>
      <c r="D64" s="1" t="s">
        <v>101</v>
      </c>
      <c r="E64" s="1">
        <v>20.993539999999999</v>
      </c>
      <c r="F64" s="1">
        <v>39.588149999999999</v>
      </c>
      <c r="G64" s="11">
        <v>25</v>
      </c>
      <c r="H64" s="2">
        <v>0</v>
      </c>
      <c r="I64" s="11">
        <v>0</v>
      </c>
      <c r="J64" s="11">
        <v>0</v>
      </c>
      <c r="K64" s="2">
        <v>0</v>
      </c>
      <c r="L64" s="11">
        <v>32</v>
      </c>
      <c r="M64" s="2">
        <v>36000</v>
      </c>
      <c r="N64" s="2">
        <v>0</v>
      </c>
      <c r="O64" s="2">
        <v>36000</v>
      </c>
      <c r="P64" s="2">
        <v>0</v>
      </c>
      <c r="Q64" s="11">
        <v>190</v>
      </c>
      <c r="R64" s="11">
        <v>4</v>
      </c>
      <c r="S64" s="2">
        <v>0</v>
      </c>
      <c r="T64" s="2">
        <v>0.5</v>
      </c>
      <c r="U64" s="2">
        <v>0.8</v>
      </c>
      <c r="V64" s="2">
        <f t="shared" si="39"/>
        <v>10.56</v>
      </c>
      <c r="W64" s="2">
        <f t="shared" si="40"/>
        <v>1.4399999999999995</v>
      </c>
      <c r="X64" s="1">
        <v>12</v>
      </c>
      <c r="Y64" s="2">
        <f t="shared" si="7"/>
        <v>4913.2799999999979</v>
      </c>
      <c r="Z64" s="3">
        <f t="shared" si="22"/>
        <v>17.399999999999999</v>
      </c>
      <c r="AA64" s="2">
        <f t="shared" si="23"/>
        <v>0</v>
      </c>
      <c r="AB64" s="6">
        <f t="shared" si="24"/>
        <v>0</v>
      </c>
      <c r="AC64" s="2">
        <f t="shared" si="25"/>
        <v>32</v>
      </c>
      <c r="AD64" s="5">
        <f t="shared" si="8"/>
        <v>29880</v>
      </c>
      <c r="AE64" s="3">
        <f t="shared" si="28"/>
        <v>2.5020934516831352</v>
      </c>
      <c r="AF64" s="2">
        <f t="shared" si="29"/>
        <v>29880</v>
      </c>
      <c r="AG64" s="3">
        <f t="shared" si="30"/>
        <v>2.5020934516831352</v>
      </c>
      <c r="AH64" s="2">
        <f t="shared" si="31"/>
        <v>380</v>
      </c>
      <c r="AI64" s="2">
        <f t="shared" si="32"/>
        <v>19</v>
      </c>
      <c r="AJ64" s="3">
        <f t="shared" si="33"/>
        <v>1.5833333333333333</v>
      </c>
      <c r="AK64" s="2">
        <f t="shared" si="26"/>
        <v>400</v>
      </c>
      <c r="AL64" s="2">
        <f t="shared" si="27"/>
        <v>2.56</v>
      </c>
      <c r="AM64" s="7">
        <f t="shared" si="34"/>
        <v>0.95</v>
      </c>
      <c r="AN64" s="2">
        <f t="shared" si="35"/>
        <v>76</v>
      </c>
      <c r="AO64" s="2">
        <f t="shared" si="36"/>
        <v>3.8</v>
      </c>
      <c r="AP64" s="2">
        <f t="shared" si="37"/>
        <v>5</v>
      </c>
      <c r="AQ64" s="2">
        <f t="shared" si="38"/>
        <v>240</v>
      </c>
    </row>
    <row r="65" spans="1:43" x14ac:dyDescent="0.3">
      <c r="A65" s="14" t="s">
        <v>114</v>
      </c>
      <c r="B65" s="12" t="s">
        <v>71</v>
      </c>
      <c r="C65" s="1" t="s">
        <v>73</v>
      </c>
      <c r="D65" s="1" t="s">
        <v>100</v>
      </c>
      <c r="E65" s="1">
        <v>39.905872000000002</v>
      </c>
      <c r="F65" s="1">
        <v>39.905872000000002</v>
      </c>
      <c r="G65" s="11">
        <v>20</v>
      </c>
      <c r="H65" s="2">
        <v>0</v>
      </c>
      <c r="I65" s="11">
        <v>0</v>
      </c>
      <c r="J65" s="11">
        <v>0</v>
      </c>
      <c r="K65" s="2">
        <v>0</v>
      </c>
      <c r="L65" s="11">
        <v>12</v>
      </c>
      <c r="M65" s="2">
        <v>10200</v>
      </c>
      <c r="N65" s="2">
        <v>0</v>
      </c>
      <c r="O65" s="2">
        <v>0</v>
      </c>
      <c r="P65" s="2">
        <v>0</v>
      </c>
      <c r="Q65" s="11">
        <v>190</v>
      </c>
      <c r="R65" s="11">
        <v>4</v>
      </c>
      <c r="S65" s="2">
        <v>0</v>
      </c>
      <c r="T65" s="2">
        <v>0.5</v>
      </c>
      <c r="U65" s="2">
        <v>0.8</v>
      </c>
      <c r="V65" s="2">
        <f t="shared" ref="V65:V81" si="41">X65*0.88</f>
        <v>13.2</v>
      </c>
      <c r="W65" s="2">
        <f t="shared" ref="W65:W81" si="42">X65-V65</f>
        <v>1.8000000000000007</v>
      </c>
      <c r="X65" s="1">
        <v>15</v>
      </c>
      <c r="Y65" s="2">
        <f t="shared" si="7"/>
        <v>6141.6000000000022</v>
      </c>
      <c r="Z65" s="3">
        <f t="shared" si="22"/>
        <v>13.92</v>
      </c>
      <c r="AA65" s="2">
        <f t="shared" si="23"/>
        <v>0</v>
      </c>
      <c r="AB65" s="6">
        <f t="shared" ref="AB65:AB81" si="43">J65*0.8*0.87*(1-0.03*K65/8760)</f>
        <v>0</v>
      </c>
      <c r="AC65" s="2">
        <f t="shared" ref="AC65:AC81" si="44">L65</f>
        <v>12</v>
      </c>
      <c r="AD65" s="5">
        <f t="shared" ref="AD65:AD81" si="45">M65*0.83*(1-1.5%*N65)</f>
        <v>8466</v>
      </c>
      <c r="AE65" s="3">
        <f t="shared" ref="AE65:AE81" si="46">(M65*0.83)/(3.5*3412)</f>
        <v>0.70892647797688835</v>
      </c>
      <c r="AF65" s="2">
        <f t="shared" ref="AF65:AF81" si="47">O65*0.83*(1-1.5%*P65)</f>
        <v>0</v>
      </c>
      <c r="AG65" s="3">
        <f t="shared" ref="AG65:AG81" si="48">(O65*0.83)/(3.5*3412)</f>
        <v>0</v>
      </c>
      <c r="AH65" s="2">
        <f t="shared" ref="AH65:AH81" si="49">IF(P65&lt;6,Q65*R65*50%*(1-P65*20%),0)</f>
        <v>380</v>
      </c>
      <c r="AI65" s="2">
        <f t="shared" ref="AI65:AI81" si="50">AH65*50/1000</f>
        <v>19</v>
      </c>
      <c r="AJ65" s="3">
        <f t="shared" ref="AJ65:AJ81" si="51">AI65/X65</f>
        <v>1.2666666666666666</v>
      </c>
      <c r="AK65" s="2">
        <f t="shared" ref="AK65:AK81" si="52">L65/0.08</f>
        <v>150</v>
      </c>
      <c r="AL65" s="2">
        <f t="shared" ref="AL65:AL81" si="53">L65*0.08</f>
        <v>0.96</v>
      </c>
      <c r="AM65" s="7">
        <f t="shared" ref="AM65:AM81" si="54">AH65/AK65</f>
        <v>2.5333333333333332</v>
      </c>
      <c r="AN65" s="2">
        <f t="shared" ref="AN65:AN81" si="55">Q65*R65*0.1</f>
        <v>76</v>
      </c>
      <c r="AO65" s="2">
        <f t="shared" ref="AO65:AO81" si="56">AN65*50/1000</f>
        <v>3.8</v>
      </c>
      <c r="AP65" s="2">
        <f t="shared" ref="AP65:AP81" si="57">AH65/AN65</f>
        <v>5</v>
      </c>
      <c r="AQ65" s="2">
        <f t="shared" ref="AQ65:AQ81" si="58">X65*1000/50</f>
        <v>300</v>
      </c>
    </row>
    <row r="66" spans="1:43" x14ac:dyDescent="0.3">
      <c r="A66" s="14" t="s">
        <v>115</v>
      </c>
      <c r="B66" s="12" t="s">
        <v>71</v>
      </c>
      <c r="C66" s="1" t="s">
        <v>73</v>
      </c>
      <c r="D66" s="1" t="s">
        <v>75</v>
      </c>
      <c r="E66" s="1">
        <v>39.915080000000003</v>
      </c>
      <c r="F66" s="1">
        <v>39.915080000000003</v>
      </c>
      <c r="G66" s="11">
        <v>35</v>
      </c>
      <c r="H66" s="2">
        <v>0</v>
      </c>
      <c r="I66" s="11">
        <v>0</v>
      </c>
      <c r="J66" s="11">
        <v>0</v>
      </c>
      <c r="K66" s="2">
        <v>0</v>
      </c>
      <c r="L66" s="11">
        <v>18</v>
      </c>
      <c r="M66" s="2">
        <v>10200</v>
      </c>
      <c r="N66" s="2">
        <v>0</v>
      </c>
      <c r="O66" s="2">
        <v>0</v>
      </c>
      <c r="P66" s="2">
        <v>0</v>
      </c>
      <c r="Q66" s="11">
        <v>200</v>
      </c>
      <c r="R66" s="11">
        <v>4</v>
      </c>
      <c r="S66" s="2">
        <v>0</v>
      </c>
      <c r="T66" s="2">
        <v>0.5</v>
      </c>
      <c r="U66" s="2">
        <v>0.8</v>
      </c>
      <c r="V66" s="2">
        <f t="shared" si="41"/>
        <v>14.96</v>
      </c>
      <c r="W66" s="2">
        <f t="shared" si="42"/>
        <v>2.0399999999999991</v>
      </c>
      <c r="X66" s="1">
        <v>17</v>
      </c>
      <c r="Y66" s="2">
        <f t="shared" si="7"/>
        <v>6960.4799999999968</v>
      </c>
      <c r="Z66" s="3">
        <f t="shared" si="22"/>
        <v>24.36</v>
      </c>
      <c r="AA66" s="2">
        <f t="shared" si="23"/>
        <v>0</v>
      </c>
      <c r="AB66" s="6">
        <f t="shared" si="43"/>
        <v>0</v>
      </c>
      <c r="AC66" s="2">
        <f t="shared" si="44"/>
        <v>18</v>
      </c>
      <c r="AD66" s="5">
        <f t="shared" si="45"/>
        <v>8466</v>
      </c>
      <c r="AE66" s="3">
        <f t="shared" si="46"/>
        <v>0.70892647797688835</v>
      </c>
      <c r="AF66" s="2">
        <f t="shared" si="47"/>
        <v>0</v>
      </c>
      <c r="AG66" s="3">
        <f t="shared" si="48"/>
        <v>0</v>
      </c>
      <c r="AH66" s="2">
        <f t="shared" si="49"/>
        <v>400</v>
      </c>
      <c r="AI66" s="2">
        <f t="shared" si="50"/>
        <v>20</v>
      </c>
      <c r="AJ66" s="3">
        <f t="shared" si="51"/>
        <v>1.1764705882352942</v>
      </c>
      <c r="AK66" s="2">
        <f t="shared" si="52"/>
        <v>225</v>
      </c>
      <c r="AL66" s="2">
        <f t="shared" si="53"/>
        <v>1.44</v>
      </c>
      <c r="AM66" s="7">
        <f t="shared" si="54"/>
        <v>1.7777777777777777</v>
      </c>
      <c r="AN66" s="2">
        <f t="shared" si="55"/>
        <v>80</v>
      </c>
      <c r="AO66" s="2">
        <f t="shared" si="56"/>
        <v>4</v>
      </c>
      <c r="AP66" s="2">
        <f t="shared" si="57"/>
        <v>5</v>
      </c>
      <c r="AQ66" s="2">
        <f t="shared" si="58"/>
        <v>340</v>
      </c>
    </row>
    <row r="67" spans="1:43" x14ac:dyDescent="0.3">
      <c r="A67" s="14" t="s">
        <v>116</v>
      </c>
      <c r="B67" s="12" t="s">
        <v>71</v>
      </c>
      <c r="C67" s="1" t="s">
        <v>72</v>
      </c>
      <c r="D67" s="1" t="s">
        <v>74</v>
      </c>
      <c r="E67" s="1">
        <v>39.989527000000002</v>
      </c>
      <c r="F67" s="1">
        <v>39.989527000000002</v>
      </c>
      <c r="G67" s="11">
        <v>35</v>
      </c>
      <c r="H67" s="2">
        <v>0</v>
      </c>
      <c r="I67" s="11">
        <v>0</v>
      </c>
      <c r="J67" s="11">
        <v>0</v>
      </c>
      <c r="K67" s="2">
        <v>0</v>
      </c>
      <c r="L67" s="11">
        <v>12</v>
      </c>
      <c r="M67" s="2">
        <v>48000</v>
      </c>
      <c r="N67" s="2">
        <v>0</v>
      </c>
      <c r="O67" s="2">
        <v>48000</v>
      </c>
      <c r="P67" s="2">
        <v>0</v>
      </c>
      <c r="Q67" s="11">
        <v>250</v>
      </c>
      <c r="R67" s="11">
        <v>3</v>
      </c>
      <c r="S67" s="2">
        <v>0</v>
      </c>
      <c r="T67" s="2">
        <v>0.5</v>
      </c>
      <c r="U67" s="2">
        <v>0.8</v>
      </c>
      <c r="V67" s="2">
        <f t="shared" si="41"/>
        <v>13.2</v>
      </c>
      <c r="W67" s="2">
        <f t="shared" si="42"/>
        <v>1.8000000000000007</v>
      </c>
      <c r="X67" s="1">
        <v>15</v>
      </c>
      <c r="Y67" s="2">
        <f t="shared" ref="Y67:Y81" si="59">W67*3412</f>
        <v>6141.6000000000022</v>
      </c>
      <c r="Z67" s="3">
        <f t="shared" si="22"/>
        <v>24.36</v>
      </c>
      <c r="AA67" s="2">
        <f t="shared" si="23"/>
        <v>0</v>
      </c>
      <c r="AB67" s="6">
        <f t="shared" si="43"/>
        <v>0</v>
      </c>
      <c r="AC67" s="2">
        <f t="shared" si="44"/>
        <v>12</v>
      </c>
      <c r="AD67" s="5">
        <f t="shared" si="45"/>
        <v>39840</v>
      </c>
      <c r="AE67" s="3">
        <f t="shared" si="46"/>
        <v>3.3361246022441802</v>
      </c>
      <c r="AF67" s="2">
        <f t="shared" si="47"/>
        <v>39840</v>
      </c>
      <c r="AG67" s="3">
        <f t="shared" si="48"/>
        <v>3.3361246022441802</v>
      </c>
      <c r="AH67" s="2">
        <f t="shared" si="49"/>
        <v>375</v>
      </c>
      <c r="AI67" s="2">
        <f t="shared" si="50"/>
        <v>18.75</v>
      </c>
      <c r="AJ67" s="3">
        <f t="shared" si="51"/>
        <v>1.25</v>
      </c>
      <c r="AK67" s="2">
        <f t="shared" si="52"/>
        <v>150</v>
      </c>
      <c r="AL67" s="2">
        <f t="shared" si="53"/>
        <v>0.96</v>
      </c>
      <c r="AM67" s="7">
        <f t="shared" si="54"/>
        <v>2.5</v>
      </c>
      <c r="AN67" s="2">
        <f t="shared" si="55"/>
        <v>75</v>
      </c>
      <c r="AO67" s="2">
        <f t="shared" si="56"/>
        <v>3.75</v>
      </c>
      <c r="AP67" s="2">
        <f t="shared" si="57"/>
        <v>5</v>
      </c>
      <c r="AQ67" s="2">
        <f t="shared" si="58"/>
        <v>300</v>
      </c>
    </row>
    <row r="68" spans="1:43" x14ac:dyDescent="0.3">
      <c r="A68" s="14" t="s">
        <v>117</v>
      </c>
      <c r="B68" s="12" t="s">
        <v>70</v>
      </c>
      <c r="C68" s="1" t="s">
        <v>73</v>
      </c>
      <c r="D68" s="1" t="s">
        <v>75</v>
      </c>
      <c r="E68" s="1">
        <v>39.908200000000001</v>
      </c>
      <c r="F68" s="1">
        <v>39.908200000000001</v>
      </c>
      <c r="G68" s="11">
        <v>0</v>
      </c>
      <c r="H68" s="2">
        <v>0</v>
      </c>
      <c r="I68" s="11">
        <v>100</v>
      </c>
      <c r="J68" s="11">
        <v>35</v>
      </c>
      <c r="K68" s="2">
        <v>0</v>
      </c>
      <c r="L68" s="11">
        <v>24</v>
      </c>
      <c r="M68" s="2">
        <v>10200</v>
      </c>
      <c r="N68" s="2">
        <v>0</v>
      </c>
      <c r="O68" s="2">
        <v>0</v>
      </c>
      <c r="P68" s="2">
        <v>0</v>
      </c>
      <c r="Q68" s="11">
        <v>200</v>
      </c>
      <c r="R68" s="11">
        <v>4</v>
      </c>
      <c r="S68" s="2">
        <v>0</v>
      </c>
      <c r="T68" s="2">
        <v>0.5</v>
      </c>
      <c r="U68" s="2">
        <v>0.8</v>
      </c>
      <c r="V68" s="2">
        <f t="shared" si="41"/>
        <v>14.96</v>
      </c>
      <c r="W68" s="2">
        <f t="shared" si="42"/>
        <v>2.0399999999999991</v>
      </c>
      <c r="X68" s="1">
        <v>17</v>
      </c>
      <c r="Y68" s="2">
        <f t="shared" si="59"/>
        <v>6960.4799999999968</v>
      </c>
      <c r="Z68" s="3">
        <f t="shared" si="22"/>
        <v>0</v>
      </c>
      <c r="AA68" s="2">
        <f t="shared" si="23"/>
        <v>31.28</v>
      </c>
      <c r="AB68" s="6">
        <f t="shared" si="43"/>
        <v>24.36</v>
      </c>
      <c r="AC68" s="2">
        <f t="shared" si="44"/>
        <v>24</v>
      </c>
      <c r="AD68" s="5">
        <f t="shared" si="45"/>
        <v>8466</v>
      </c>
      <c r="AE68" s="3">
        <f t="shared" si="46"/>
        <v>0.70892647797688835</v>
      </c>
      <c r="AF68" s="2">
        <f t="shared" si="47"/>
        <v>0</v>
      </c>
      <c r="AG68" s="3">
        <f t="shared" si="48"/>
        <v>0</v>
      </c>
      <c r="AH68" s="2">
        <f t="shared" si="49"/>
        <v>400</v>
      </c>
      <c r="AI68" s="2">
        <f t="shared" si="50"/>
        <v>20</v>
      </c>
      <c r="AJ68" s="3">
        <f t="shared" si="51"/>
        <v>1.1764705882352942</v>
      </c>
      <c r="AK68" s="2">
        <f t="shared" si="52"/>
        <v>300</v>
      </c>
      <c r="AL68" s="2">
        <f t="shared" si="53"/>
        <v>1.92</v>
      </c>
      <c r="AM68" s="7">
        <f t="shared" si="54"/>
        <v>1.3333333333333333</v>
      </c>
      <c r="AN68" s="2">
        <f t="shared" si="55"/>
        <v>80</v>
      </c>
      <c r="AO68" s="2">
        <f t="shared" si="56"/>
        <v>4</v>
      </c>
      <c r="AP68" s="2">
        <f t="shared" si="57"/>
        <v>5</v>
      </c>
      <c r="AQ68" s="2">
        <f t="shared" si="58"/>
        <v>340</v>
      </c>
    </row>
    <row r="69" spans="1:43" x14ac:dyDescent="0.3">
      <c r="A69" s="14" t="s">
        <v>118</v>
      </c>
      <c r="B69" s="12" t="s">
        <v>71</v>
      </c>
      <c r="C69" s="1" t="s">
        <v>72</v>
      </c>
      <c r="D69" s="1" t="s">
        <v>75</v>
      </c>
      <c r="E69" s="1">
        <v>39.901263999999998</v>
      </c>
      <c r="F69" s="1">
        <v>39.901263999999998</v>
      </c>
      <c r="G69" s="11">
        <v>45</v>
      </c>
      <c r="H69" s="2">
        <v>0</v>
      </c>
      <c r="I69" s="11">
        <v>0</v>
      </c>
      <c r="J69" s="11">
        <v>0</v>
      </c>
      <c r="K69" s="2">
        <v>0</v>
      </c>
      <c r="L69" s="11">
        <v>18</v>
      </c>
      <c r="M69" s="2">
        <v>36000</v>
      </c>
      <c r="N69" s="2">
        <v>0</v>
      </c>
      <c r="O69" s="2">
        <v>36000</v>
      </c>
      <c r="P69" s="2">
        <v>0</v>
      </c>
      <c r="Q69" s="11">
        <v>200</v>
      </c>
      <c r="R69" s="11">
        <v>4</v>
      </c>
      <c r="S69" s="2">
        <v>0</v>
      </c>
      <c r="T69" s="2">
        <v>0.5</v>
      </c>
      <c r="U69" s="2">
        <v>0.8</v>
      </c>
      <c r="V69" s="2">
        <f t="shared" si="41"/>
        <v>14.96</v>
      </c>
      <c r="W69" s="2">
        <f t="shared" si="42"/>
        <v>2.0399999999999991</v>
      </c>
      <c r="X69" s="1">
        <v>17</v>
      </c>
      <c r="Y69" s="2">
        <f t="shared" si="59"/>
        <v>6960.4799999999968</v>
      </c>
      <c r="Z69" s="3">
        <f t="shared" si="22"/>
        <v>31.32</v>
      </c>
      <c r="AA69" s="2">
        <f t="shared" si="23"/>
        <v>0</v>
      </c>
      <c r="AB69" s="6">
        <f t="shared" si="43"/>
        <v>0</v>
      </c>
      <c r="AC69" s="2">
        <f t="shared" si="44"/>
        <v>18</v>
      </c>
      <c r="AD69" s="5">
        <f t="shared" si="45"/>
        <v>29880</v>
      </c>
      <c r="AE69" s="3">
        <f t="shared" si="46"/>
        <v>2.5020934516831352</v>
      </c>
      <c r="AF69" s="2">
        <f t="shared" si="47"/>
        <v>29880</v>
      </c>
      <c r="AG69" s="3">
        <f t="shared" si="48"/>
        <v>2.5020934516831352</v>
      </c>
      <c r="AH69" s="2">
        <f t="shared" si="49"/>
        <v>400</v>
      </c>
      <c r="AI69" s="2">
        <f t="shared" si="50"/>
        <v>20</v>
      </c>
      <c r="AJ69" s="3">
        <f t="shared" si="51"/>
        <v>1.1764705882352942</v>
      </c>
      <c r="AK69" s="2">
        <f t="shared" si="52"/>
        <v>225</v>
      </c>
      <c r="AL69" s="2">
        <f t="shared" si="53"/>
        <v>1.44</v>
      </c>
      <c r="AM69" s="7">
        <f t="shared" si="54"/>
        <v>1.7777777777777777</v>
      </c>
      <c r="AN69" s="2">
        <f t="shared" si="55"/>
        <v>80</v>
      </c>
      <c r="AO69" s="2">
        <f t="shared" si="56"/>
        <v>4</v>
      </c>
      <c r="AP69" s="2">
        <f t="shared" si="57"/>
        <v>5</v>
      </c>
      <c r="AQ69" s="2">
        <f t="shared" si="58"/>
        <v>340</v>
      </c>
    </row>
    <row r="70" spans="1:43" x14ac:dyDescent="0.3">
      <c r="A70" s="14" t="s">
        <v>119</v>
      </c>
      <c r="B70" s="12" t="s">
        <v>70</v>
      </c>
      <c r="C70" s="1" t="s">
        <v>73</v>
      </c>
      <c r="D70" s="1" t="s">
        <v>75</v>
      </c>
      <c r="E70" s="1">
        <v>39.897433999999997</v>
      </c>
      <c r="F70" s="1">
        <v>39.897433999999997</v>
      </c>
      <c r="G70" s="11">
        <v>0</v>
      </c>
      <c r="H70" s="2">
        <v>0</v>
      </c>
      <c r="I70" s="11">
        <v>100</v>
      </c>
      <c r="J70" s="11">
        <v>20</v>
      </c>
      <c r="K70" s="2">
        <v>0</v>
      </c>
      <c r="L70" s="11">
        <v>18</v>
      </c>
      <c r="M70" s="2">
        <v>10200</v>
      </c>
      <c r="N70" s="2">
        <v>0</v>
      </c>
      <c r="O70" s="2">
        <v>0</v>
      </c>
      <c r="P70" s="2">
        <v>0</v>
      </c>
      <c r="Q70" s="11">
        <v>190</v>
      </c>
      <c r="R70" s="11">
        <v>4</v>
      </c>
      <c r="S70" s="2">
        <v>0</v>
      </c>
      <c r="T70" s="2">
        <v>0.5</v>
      </c>
      <c r="U70" s="2">
        <v>0.8</v>
      </c>
      <c r="V70" s="2">
        <f t="shared" si="41"/>
        <v>14.96</v>
      </c>
      <c r="W70" s="2">
        <f t="shared" si="42"/>
        <v>2.0399999999999991</v>
      </c>
      <c r="X70" s="1">
        <v>17</v>
      </c>
      <c r="Y70" s="2">
        <f t="shared" si="59"/>
        <v>6960.4799999999968</v>
      </c>
      <c r="Z70" s="3">
        <f t="shared" si="22"/>
        <v>0</v>
      </c>
      <c r="AA70" s="2">
        <f t="shared" si="23"/>
        <v>31.28</v>
      </c>
      <c r="AB70" s="6">
        <f t="shared" si="43"/>
        <v>13.92</v>
      </c>
      <c r="AC70" s="2">
        <f t="shared" si="44"/>
        <v>18</v>
      </c>
      <c r="AD70" s="5">
        <f t="shared" si="45"/>
        <v>8466</v>
      </c>
      <c r="AE70" s="3">
        <f t="shared" si="46"/>
        <v>0.70892647797688835</v>
      </c>
      <c r="AF70" s="2">
        <f t="shared" si="47"/>
        <v>0</v>
      </c>
      <c r="AG70" s="3">
        <f t="shared" si="48"/>
        <v>0</v>
      </c>
      <c r="AH70" s="2">
        <f t="shared" si="49"/>
        <v>380</v>
      </c>
      <c r="AI70" s="2">
        <f t="shared" si="50"/>
        <v>19</v>
      </c>
      <c r="AJ70" s="3">
        <f t="shared" si="51"/>
        <v>1.1176470588235294</v>
      </c>
      <c r="AK70" s="2">
        <f t="shared" si="52"/>
        <v>225</v>
      </c>
      <c r="AL70" s="2">
        <f t="shared" si="53"/>
        <v>1.44</v>
      </c>
      <c r="AM70" s="7">
        <f t="shared" si="54"/>
        <v>1.6888888888888889</v>
      </c>
      <c r="AN70" s="2">
        <f t="shared" si="55"/>
        <v>76</v>
      </c>
      <c r="AO70" s="2">
        <f t="shared" si="56"/>
        <v>3.8</v>
      </c>
      <c r="AP70" s="2">
        <f t="shared" si="57"/>
        <v>5</v>
      </c>
      <c r="AQ70" s="2">
        <f t="shared" si="58"/>
        <v>340</v>
      </c>
    </row>
    <row r="71" spans="1:43" x14ac:dyDescent="0.3">
      <c r="A71" s="14" t="s">
        <v>120</v>
      </c>
      <c r="B71" s="12" t="s">
        <v>71</v>
      </c>
      <c r="C71" s="1" t="s">
        <v>73</v>
      </c>
      <c r="D71" s="1" t="s">
        <v>74</v>
      </c>
      <c r="E71" s="1">
        <v>39.980615999999998</v>
      </c>
      <c r="F71" s="1">
        <v>39.980615999999998</v>
      </c>
      <c r="G71" s="11">
        <v>20</v>
      </c>
      <c r="H71" s="2">
        <v>0</v>
      </c>
      <c r="I71" s="11">
        <v>0</v>
      </c>
      <c r="J71" s="11">
        <v>0</v>
      </c>
      <c r="K71" s="2">
        <v>0</v>
      </c>
      <c r="L71" s="11">
        <v>15</v>
      </c>
      <c r="M71" s="2">
        <v>10200</v>
      </c>
      <c r="N71" s="2">
        <v>0</v>
      </c>
      <c r="O71" s="2">
        <v>0</v>
      </c>
      <c r="P71" s="2">
        <v>0</v>
      </c>
      <c r="Q71" s="11">
        <v>190</v>
      </c>
      <c r="R71" s="11">
        <v>4</v>
      </c>
      <c r="S71" s="2">
        <v>0</v>
      </c>
      <c r="T71" s="2">
        <v>0.5</v>
      </c>
      <c r="U71" s="2">
        <v>0.8</v>
      </c>
      <c r="V71" s="2">
        <f t="shared" si="41"/>
        <v>14.96</v>
      </c>
      <c r="W71" s="2">
        <f t="shared" si="42"/>
        <v>2.0399999999999991</v>
      </c>
      <c r="X71" s="1">
        <v>17</v>
      </c>
      <c r="Y71" s="2">
        <f t="shared" si="59"/>
        <v>6960.4799999999968</v>
      </c>
      <c r="Z71" s="3">
        <f t="shared" si="22"/>
        <v>13.92</v>
      </c>
      <c r="AA71" s="2">
        <f t="shared" si="23"/>
        <v>0</v>
      </c>
      <c r="AB71" s="6">
        <f t="shared" si="43"/>
        <v>0</v>
      </c>
      <c r="AC71" s="2">
        <f t="shared" si="44"/>
        <v>15</v>
      </c>
      <c r="AD71" s="5">
        <f t="shared" si="45"/>
        <v>8466</v>
      </c>
      <c r="AE71" s="3">
        <f t="shared" si="46"/>
        <v>0.70892647797688835</v>
      </c>
      <c r="AF71" s="2">
        <f t="shared" si="47"/>
        <v>0</v>
      </c>
      <c r="AG71" s="3">
        <f t="shared" si="48"/>
        <v>0</v>
      </c>
      <c r="AH71" s="2">
        <f t="shared" si="49"/>
        <v>380</v>
      </c>
      <c r="AI71" s="2">
        <f t="shared" si="50"/>
        <v>19</v>
      </c>
      <c r="AJ71" s="3">
        <f t="shared" si="51"/>
        <v>1.1176470588235294</v>
      </c>
      <c r="AK71" s="2">
        <f t="shared" si="52"/>
        <v>187.5</v>
      </c>
      <c r="AL71" s="2">
        <f t="shared" si="53"/>
        <v>1.2</v>
      </c>
      <c r="AM71" s="7">
        <f t="shared" si="54"/>
        <v>2.0266666666666668</v>
      </c>
      <c r="AN71" s="2">
        <f t="shared" si="55"/>
        <v>76</v>
      </c>
      <c r="AO71" s="2">
        <f t="shared" si="56"/>
        <v>3.8</v>
      </c>
      <c r="AP71" s="2">
        <f t="shared" si="57"/>
        <v>5</v>
      </c>
      <c r="AQ71" s="2">
        <f t="shared" si="58"/>
        <v>340</v>
      </c>
    </row>
    <row r="72" spans="1:43" x14ac:dyDescent="0.3">
      <c r="A72" s="14" t="s">
        <v>121</v>
      </c>
      <c r="B72" s="12" t="s">
        <v>71</v>
      </c>
      <c r="C72" s="1" t="s">
        <v>72</v>
      </c>
      <c r="D72" s="1" t="s">
        <v>74</v>
      </c>
      <c r="E72" s="1">
        <v>39.971525999999997</v>
      </c>
      <c r="F72" s="1">
        <v>39.971525999999997</v>
      </c>
      <c r="G72" s="11">
        <v>45</v>
      </c>
      <c r="H72" s="2">
        <v>0</v>
      </c>
      <c r="I72" s="11">
        <v>0</v>
      </c>
      <c r="J72" s="11">
        <v>0</v>
      </c>
      <c r="K72" s="2">
        <v>0</v>
      </c>
      <c r="L72" s="11">
        <v>16</v>
      </c>
      <c r="M72" s="2">
        <v>36000</v>
      </c>
      <c r="N72" s="2">
        <v>0</v>
      </c>
      <c r="O72" s="2">
        <v>36000</v>
      </c>
      <c r="P72" s="2">
        <v>0</v>
      </c>
      <c r="Q72" s="11">
        <v>200</v>
      </c>
      <c r="R72" s="11">
        <v>2</v>
      </c>
      <c r="S72" s="2">
        <v>0</v>
      </c>
      <c r="T72" s="2">
        <v>0.5</v>
      </c>
      <c r="U72" s="2">
        <v>0.8</v>
      </c>
      <c r="V72" s="2">
        <f t="shared" si="41"/>
        <v>13.2</v>
      </c>
      <c r="W72" s="2">
        <f t="shared" si="42"/>
        <v>1.8000000000000007</v>
      </c>
      <c r="X72" s="1">
        <v>15</v>
      </c>
      <c r="Y72" s="2">
        <f t="shared" si="59"/>
        <v>6141.6000000000022</v>
      </c>
      <c r="Z72" s="3">
        <f t="shared" si="22"/>
        <v>31.32</v>
      </c>
      <c r="AA72" s="2">
        <f t="shared" si="23"/>
        <v>0</v>
      </c>
      <c r="AB72" s="6">
        <f t="shared" si="43"/>
        <v>0</v>
      </c>
      <c r="AC72" s="2">
        <f t="shared" si="44"/>
        <v>16</v>
      </c>
      <c r="AD72" s="5">
        <f t="shared" si="45"/>
        <v>29880</v>
      </c>
      <c r="AE72" s="3">
        <f t="shared" si="46"/>
        <v>2.5020934516831352</v>
      </c>
      <c r="AF72" s="2">
        <f t="shared" si="47"/>
        <v>29880</v>
      </c>
      <c r="AG72" s="3">
        <f t="shared" si="48"/>
        <v>2.5020934516831352</v>
      </c>
      <c r="AH72" s="2">
        <f t="shared" si="49"/>
        <v>200</v>
      </c>
      <c r="AI72" s="2">
        <f t="shared" si="50"/>
        <v>10</v>
      </c>
      <c r="AJ72" s="3">
        <f t="shared" si="51"/>
        <v>0.66666666666666663</v>
      </c>
      <c r="AK72" s="2">
        <f t="shared" si="52"/>
        <v>200</v>
      </c>
      <c r="AL72" s="2">
        <f t="shared" si="53"/>
        <v>1.28</v>
      </c>
      <c r="AM72" s="7">
        <f t="shared" si="54"/>
        <v>1</v>
      </c>
      <c r="AN72" s="2">
        <f t="shared" si="55"/>
        <v>40</v>
      </c>
      <c r="AO72" s="2">
        <f t="shared" si="56"/>
        <v>2</v>
      </c>
      <c r="AP72" s="2">
        <f t="shared" si="57"/>
        <v>5</v>
      </c>
      <c r="AQ72" s="2">
        <f t="shared" si="58"/>
        <v>300</v>
      </c>
    </row>
    <row r="73" spans="1:43" x14ac:dyDescent="0.3">
      <c r="A73" s="14" t="s">
        <v>122</v>
      </c>
      <c r="B73" s="12" t="s">
        <v>71</v>
      </c>
      <c r="C73" s="1" t="s">
        <v>72</v>
      </c>
      <c r="D73" s="1" t="s">
        <v>75</v>
      </c>
      <c r="E73" s="1">
        <v>39.898850000000003</v>
      </c>
      <c r="F73" s="1">
        <v>39.898850000000003</v>
      </c>
      <c r="G73" s="11">
        <v>35</v>
      </c>
      <c r="H73" s="2">
        <v>0</v>
      </c>
      <c r="I73" s="11">
        <v>0</v>
      </c>
      <c r="J73" s="11">
        <v>0</v>
      </c>
      <c r="K73" s="2">
        <v>0</v>
      </c>
      <c r="L73" s="11">
        <v>21.6</v>
      </c>
      <c r="M73" s="2">
        <v>36000</v>
      </c>
      <c r="N73" s="2">
        <v>0</v>
      </c>
      <c r="O73" s="2">
        <v>36000</v>
      </c>
      <c r="P73" s="2">
        <v>0</v>
      </c>
      <c r="Q73" s="11">
        <v>425</v>
      </c>
      <c r="R73" s="11">
        <v>2</v>
      </c>
      <c r="S73" s="2">
        <v>0</v>
      </c>
      <c r="T73" s="2">
        <v>0.5</v>
      </c>
      <c r="U73" s="2">
        <v>0.8</v>
      </c>
      <c r="V73" s="2">
        <f t="shared" si="41"/>
        <v>14.96</v>
      </c>
      <c r="W73" s="2">
        <f t="shared" si="42"/>
        <v>2.0399999999999991</v>
      </c>
      <c r="X73" s="1">
        <v>17</v>
      </c>
      <c r="Y73" s="2">
        <f t="shared" si="59"/>
        <v>6960.4799999999968</v>
      </c>
      <c r="Z73" s="3">
        <f t="shared" si="22"/>
        <v>24.36</v>
      </c>
      <c r="AA73" s="2">
        <f t="shared" si="23"/>
        <v>0</v>
      </c>
      <c r="AB73" s="6">
        <f t="shared" si="43"/>
        <v>0</v>
      </c>
      <c r="AC73" s="2">
        <f t="shared" si="44"/>
        <v>21.6</v>
      </c>
      <c r="AD73" s="5">
        <f t="shared" si="45"/>
        <v>29880</v>
      </c>
      <c r="AE73" s="3">
        <f t="shared" si="46"/>
        <v>2.5020934516831352</v>
      </c>
      <c r="AF73" s="2">
        <f t="shared" si="47"/>
        <v>29880</v>
      </c>
      <c r="AG73" s="3">
        <f t="shared" si="48"/>
        <v>2.5020934516831352</v>
      </c>
      <c r="AH73" s="2">
        <f t="shared" si="49"/>
        <v>425</v>
      </c>
      <c r="AI73" s="2">
        <f t="shared" si="50"/>
        <v>21.25</v>
      </c>
      <c r="AJ73" s="3">
        <f t="shared" si="51"/>
        <v>1.25</v>
      </c>
      <c r="AK73" s="2">
        <f t="shared" si="52"/>
        <v>270</v>
      </c>
      <c r="AL73" s="2">
        <f t="shared" si="53"/>
        <v>1.7280000000000002</v>
      </c>
      <c r="AM73" s="7">
        <f t="shared" si="54"/>
        <v>1.5740740740740742</v>
      </c>
      <c r="AN73" s="2">
        <f t="shared" si="55"/>
        <v>85</v>
      </c>
      <c r="AO73" s="2">
        <f t="shared" si="56"/>
        <v>4.25</v>
      </c>
      <c r="AP73" s="2">
        <f t="shared" si="57"/>
        <v>5</v>
      </c>
      <c r="AQ73" s="2">
        <f t="shared" si="58"/>
        <v>340</v>
      </c>
    </row>
    <row r="74" spans="1:43" x14ac:dyDescent="0.3">
      <c r="A74" s="14" t="s">
        <v>123</v>
      </c>
      <c r="B74" s="12" t="s">
        <v>112</v>
      </c>
      <c r="C74" s="1" t="s">
        <v>72</v>
      </c>
      <c r="D74" s="1" t="s">
        <v>74</v>
      </c>
      <c r="E74" s="1">
        <v>39.990098000000003</v>
      </c>
      <c r="F74" s="1">
        <v>39.990098000000003</v>
      </c>
      <c r="G74" s="11">
        <v>35</v>
      </c>
      <c r="H74" s="2">
        <v>0</v>
      </c>
      <c r="I74" s="11">
        <v>0</v>
      </c>
      <c r="J74" s="11">
        <v>35</v>
      </c>
      <c r="K74" s="2">
        <v>0</v>
      </c>
      <c r="L74" s="11">
        <v>21.6</v>
      </c>
      <c r="M74" s="2">
        <v>36000</v>
      </c>
      <c r="N74" s="2">
        <v>0</v>
      </c>
      <c r="O74" s="2">
        <v>36000</v>
      </c>
      <c r="P74" s="2">
        <v>0</v>
      </c>
      <c r="Q74" s="11">
        <v>190</v>
      </c>
      <c r="R74" s="11">
        <v>8</v>
      </c>
      <c r="S74" s="2">
        <v>0</v>
      </c>
      <c r="T74" s="2">
        <v>0.5</v>
      </c>
      <c r="U74" s="2">
        <v>0.8</v>
      </c>
      <c r="V74" s="2">
        <f t="shared" si="41"/>
        <v>14.96</v>
      </c>
      <c r="W74" s="2">
        <f t="shared" si="42"/>
        <v>2.0399999999999991</v>
      </c>
      <c r="X74" s="1">
        <v>17</v>
      </c>
      <c r="Y74" s="2">
        <f t="shared" si="59"/>
        <v>6960.4799999999968</v>
      </c>
      <c r="Z74" s="3">
        <f t="shared" si="22"/>
        <v>24.36</v>
      </c>
      <c r="AA74" s="2">
        <f t="shared" si="23"/>
        <v>0</v>
      </c>
      <c r="AB74" s="6">
        <f t="shared" si="43"/>
        <v>24.36</v>
      </c>
      <c r="AC74" s="2">
        <f t="shared" si="44"/>
        <v>21.6</v>
      </c>
      <c r="AD74" s="5">
        <f t="shared" si="45"/>
        <v>29880</v>
      </c>
      <c r="AE74" s="3">
        <f t="shared" si="46"/>
        <v>2.5020934516831352</v>
      </c>
      <c r="AF74" s="2">
        <f t="shared" si="47"/>
        <v>29880</v>
      </c>
      <c r="AG74" s="3">
        <f t="shared" si="48"/>
        <v>2.5020934516831352</v>
      </c>
      <c r="AH74" s="2">
        <f t="shared" si="49"/>
        <v>760</v>
      </c>
      <c r="AI74" s="2">
        <f t="shared" si="50"/>
        <v>38</v>
      </c>
      <c r="AJ74" s="3">
        <f t="shared" si="51"/>
        <v>2.2352941176470589</v>
      </c>
      <c r="AK74" s="2">
        <f t="shared" si="52"/>
        <v>270</v>
      </c>
      <c r="AL74" s="2">
        <f t="shared" si="53"/>
        <v>1.7280000000000002</v>
      </c>
      <c r="AM74" s="7">
        <f t="shared" si="54"/>
        <v>2.8148148148148149</v>
      </c>
      <c r="AN74" s="2">
        <f t="shared" si="55"/>
        <v>152</v>
      </c>
      <c r="AO74" s="2">
        <f t="shared" si="56"/>
        <v>7.6</v>
      </c>
      <c r="AP74" s="2">
        <f t="shared" si="57"/>
        <v>5</v>
      </c>
      <c r="AQ74" s="2">
        <f t="shared" si="58"/>
        <v>340</v>
      </c>
    </row>
    <row r="75" spans="1:43" x14ac:dyDescent="0.3">
      <c r="A75" s="14" t="s">
        <v>124</v>
      </c>
      <c r="B75" s="12" t="s">
        <v>71</v>
      </c>
      <c r="C75" s="1" t="s">
        <v>73</v>
      </c>
      <c r="D75" s="1" t="s">
        <v>100</v>
      </c>
      <c r="E75" s="1">
        <v>39.9086724</v>
      </c>
      <c r="F75" s="1">
        <v>39.9086724</v>
      </c>
      <c r="G75" s="11">
        <v>25</v>
      </c>
      <c r="H75" s="2">
        <v>0</v>
      </c>
      <c r="I75" s="11">
        <v>0</v>
      </c>
      <c r="J75" s="11">
        <v>0</v>
      </c>
      <c r="K75" s="2">
        <v>0</v>
      </c>
      <c r="L75" s="11">
        <v>15</v>
      </c>
      <c r="M75" s="2">
        <v>10200</v>
      </c>
      <c r="N75" s="2">
        <v>0</v>
      </c>
      <c r="O75" s="2">
        <v>0</v>
      </c>
      <c r="P75" s="2">
        <v>0</v>
      </c>
      <c r="Q75" s="11">
        <v>190</v>
      </c>
      <c r="R75" s="11">
        <v>2</v>
      </c>
      <c r="S75" s="2">
        <v>0</v>
      </c>
      <c r="T75" s="2">
        <v>0.5</v>
      </c>
      <c r="U75" s="2">
        <v>0.8</v>
      </c>
      <c r="V75" s="2">
        <f t="shared" si="41"/>
        <v>13.2</v>
      </c>
      <c r="W75" s="2">
        <f t="shared" si="42"/>
        <v>1.8000000000000007</v>
      </c>
      <c r="X75" s="1">
        <v>15</v>
      </c>
      <c r="Y75" s="2">
        <f t="shared" si="59"/>
        <v>6141.6000000000022</v>
      </c>
      <c r="Z75" s="3">
        <f t="shared" si="22"/>
        <v>17.399999999999999</v>
      </c>
      <c r="AA75" s="2">
        <f t="shared" si="23"/>
        <v>0</v>
      </c>
      <c r="AB75" s="6">
        <f t="shared" si="43"/>
        <v>0</v>
      </c>
      <c r="AC75" s="2">
        <f t="shared" si="44"/>
        <v>15</v>
      </c>
      <c r="AD75" s="5">
        <f t="shared" si="45"/>
        <v>8466</v>
      </c>
      <c r="AE75" s="3">
        <f t="shared" si="46"/>
        <v>0.70892647797688835</v>
      </c>
      <c r="AF75" s="2">
        <f t="shared" si="47"/>
        <v>0</v>
      </c>
      <c r="AG75" s="3">
        <f t="shared" si="48"/>
        <v>0</v>
      </c>
      <c r="AH75" s="2">
        <f t="shared" si="49"/>
        <v>190</v>
      </c>
      <c r="AI75" s="2">
        <f t="shared" si="50"/>
        <v>9.5</v>
      </c>
      <c r="AJ75" s="3">
        <f t="shared" si="51"/>
        <v>0.6333333333333333</v>
      </c>
      <c r="AK75" s="2">
        <f t="shared" si="52"/>
        <v>187.5</v>
      </c>
      <c r="AL75" s="2">
        <f t="shared" si="53"/>
        <v>1.2</v>
      </c>
      <c r="AM75" s="7">
        <f t="shared" si="54"/>
        <v>1.0133333333333334</v>
      </c>
      <c r="AN75" s="2">
        <f t="shared" si="55"/>
        <v>38</v>
      </c>
      <c r="AO75" s="2">
        <f t="shared" si="56"/>
        <v>1.9</v>
      </c>
      <c r="AP75" s="2">
        <f t="shared" si="57"/>
        <v>5</v>
      </c>
      <c r="AQ75" s="2">
        <f t="shared" si="58"/>
        <v>300</v>
      </c>
    </row>
    <row r="76" spans="1:43" x14ac:dyDescent="0.3">
      <c r="A76" s="14" t="s">
        <v>125</v>
      </c>
      <c r="B76" s="12" t="s">
        <v>71</v>
      </c>
      <c r="C76" s="1" t="s">
        <v>72</v>
      </c>
      <c r="D76" s="1" t="s">
        <v>75</v>
      </c>
      <c r="E76" s="1" t="s">
        <v>131</v>
      </c>
      <c r="F76" s="1" t="s">
        <v>131</v>
      </c>
      <c r="G76" s="11">
        <v>30</v>
      </c>
      <c r="H76" s="2">
        <v>0</v>
      </c>
      <c r="I76" s="11">
        <v>0</v>
      </c>
      <c r="J76" s="11">
        <v>0</v>
      </c>
      <c r="K76" s="2">
        <v>0</v>
      </c>
      <c r="L76" s="11">
        <v>16</v>
      </c>
      <c r="M76" s="2">
        <v>48000</v>
      </c>
      <c r="N76" s="2">
        <v>0</v>
      </c>
      <c r="O76" s="2">
        <v>48000</v>
      </c>
      <c r="P76" s="2">
        <v>0</v>
      </c>
      <c r="Q76" s="11">
        <v>400</v>
      </c>
      <c r="R76" s="11">
        <v>2</v>
      </c>
      <c r="S76" s="2">
        <v>0</v>
      </c>
      <c r="T76" s="2">
        <v>0.5</v>
      </c>
      <c r="U76" s="2">
        <v>0.8</v>
      </c>
      <c r="V76" s="2">
        <f t="shared" si="41"/>
        <v>13.2</v>
      </c>
      <c r="W76" s="2">
        <f t="shared" si="42"/>
        <v>1.8000000000000007</v>
      </c>
      <c r="X76" s="1">
        <v>15</v>
      </c>
      <c r="Y76" s="2">
        <f t="shared" si="59"/>
        <v>6141.6000000000022</v>
      </c>
      <c r="Z76" s="3">
        <f t="shared" si="22"/>
        <v>20.88</v>
      </c>
      <c r="AA76" s="2">
        <f t="shared" si="23"/>
        <v>0</v>
      </c>
      <c r="AB76" s="6">
        <f t="shared" si="43"/>
        <v>0</v>
      </c>
      <c r="AC76" s="2">
        <f t="shared" si="44"/>
        <v>16</v>
      </c>
      <c r="AD76" s="5">
        <f t="shared" si="45"/>
        <v>39840</v>
      </c>
      <c r="AE76" s="3">
        <f t="shared" si="46"/>
        <v>3.3361246022441802</v>
      </c>
      <c r="AF76" s="2">
        <f t="shared" si="47"/>
        <v>39840</v>
      </c>
      <c r="AG76" s="3">
        <f t="shared" si="48"/>
        <v>3.3361246022441802</v>
      </c>
      <c r="AH76" s="2">
        <f t="shared" si="49"/>
        <v>400</v>
      </c>
      <c r="AI76" s="2">
        <f t="shared" si="50"/>
        <v>20</v>
      </c>
      <c r="AJ76" s="3">
        <f t="shared" si="51"/>
        <v>1.3333333333333333</v>
      </c>
      <c r="AK76" s="2">
        <f t="shared" si="52"/>
        <v>200</v>
      </c>
      <c r="AL76" s="2">
        <f t="shared" si="53"/>
        <v>1.28</v>
      </c>
      <c r="AM76" s="7">
        <f t="shared" si="54"/>
        <v>2</v>
      </c>
      <c r="AN76" s="2">
        <f t="shared" si="55"/>
        <v>80</v>
      </c>
      <c r="AO76" s="2">
        <f t="shared" si="56"/>
        <v>4</v>
      </c>
      <c r="AP76" s="2">
        <f t="shared" si="57"/>
        <v>5</v>
      </c>
      <c r="AQ76" s="2">
        <f t="shared" si="58"/>
        <v>300</v>
      </c>
    </row>
    <row r="77" spans="1:43" x14ac:dyDescent="0.3">
      <c r="A77" s="14" t="s">
        <v>126</v>
      </c>
      <c r="B77" s="12" t="s">
        <v>70</v>
      </c>
      <c r="C77" s="1" t="s">
        <v>73</v>
      </c>
      <c r="D77" s="1" t="s">
        <v>75</v>
      </c>
      <c r="E77" s="1">
        <v>39.902583800000002</v>
      </c>
      <c r="F77" s="1">
        <v>39.902583800000002</v>
      </c>
      <c r="G77" s="11">
        <v>0</v>
      </c>
      <c r="H77" s="2">
        <v>0</v>
      </c>
      <c r="I77" s="11">
        <v>100</v>
      </c>
      <c r="J77" s="11">
        <v>35</v>
      </c>
      <c r="K77" s="2">
        <v>0</v>
      </c>
      <c r="L77" s="11">
        <v>18</v>
      </c>
      <c r="M77" s="2">
        <v>10200</v>
      </c>
      <c r="N77" s="2">
        <v>0</v>
      </c>
      <c r="O77" s="2">
        <v>0</v>
      </c>
      <c r="P77" s="2">
        <v>0</v>
      </c>
      <c r="Q77" s="11">
        <v>200</v>
      </c>
      <c r="R77" s="11">
        <v>4</v>
      </c>
      <c r="S77" s="2">
        <v>0</v>
      </c>
      <c r="T77" s="2">
        <v>0.5</v>
      </c>
      <c r="U77" s="2">
        <v>0.8</v>
      </c>
      <c r="V77" s="2">
        <f t="shared" si="41"/>
        <v>14.96</v>
      </c>
      <c r="W77" s="2">
        <f t="shared" si="42"/>
        <v>2.0399999999999991</v>
      </c>
      <c r="X77" s="1">
        <v>17</v>
      </c>
      <c r="Y77" s="2">
        <f t="shared" si="59"/>
        <v>6960.4799999999968</v>
      </c>
      <c r="Z77" s="3">
        <f t="shared" si="22"/>
        <v>0</v>
      </c>
      <c r="AA77" s="2">
        <f t="shared" si="23"/>
        <v>31.28</v>
      </c>
      <c r="AB77" s="6">
        <f t="shared" si="43"/>
        <v>24.36</v>
      </c>
      <c r="AC77" s="2">
        <f t="shared" si="44"/>
        <v>18</v>
      </c>
      <c r="AD77" s="5">
        <f t="shared" si="45"/>
        <v>8466</v>
      </c>
      <c r="AE77" s="3">
        <f t="shared" si="46"/>
        <v>0.70892647797688835</v>
      </c>
      <c r="AF77" s="2">
        <f t="shared" si="47"/>
        <v>0</v>
      </c>
      <c r="AG77" s="3">
        <f t="shared" si="48"/>
        <v>0</v>
      </c>
      <c r="AH77" s="2">
        <f t="shared" si="49"/>
        <v>400</v>
      </c>
      <c r="AI77" s="2">
        <f t="shared" si="50"/>
        <v>20</v>
      </c>
      <c r="AJ77" s="3">
        <f t="shared" si="51"/>
        <v>1.1764705882352942</v>
      </c>
      <c r="AK77" s="2">
        <f t="shared" si="52"/>
        <v>225</v>
      </c>
      <c r="AL77" s="2">
        <f t="shared" si="53"/>
        <v>1.44</v>
      </c>
      <c r="AM77" s="7">
        <f t="shared" si="54"/>
        <v>1.7777777777777777</v>
      </c>
      <c r="AN77" s="2">
        <f t="shared" si="55"/>
        <v>80</v>
      </c>
      <c r="AO77" s="2">
        <f t="shared" si="56"/>
        <v>4</v>
      </c>
      <c r="AP77" s="2">
        <f t="shared" si="57"/>
        <v>5</v>
      </c>
      <c r="AQ77" s="2">
        <f t="shared" si="58"/>
        <v>340</v>
      </c>
    </row>
    <row r="78" spans="1:43" x14ac:dyDescent="0.3">
      <c r="A78" s="14" t="s">
        <v>127</v>
      </c>
      <c r="B78" s="12" t="s">
        <v>71</v>
      </c>
      <c r="C78" s="1" t="s">
        <v>72</v>
      </c>
      <c r="D78" s="1" t="s">
        <v>74</v>
      </c>
      <c r="E78" s="1">
        <v>39.961342999999999</v>
      </c>
      <c r="F78" s="1">
        <v>39.961342999999999</v>
      </c>
      <c r="G78" s="11">
        <v>35</v>
      </c>
      <c r="H78" s="2">
        <v>0</v>
      </c>
      <c r="I78" s="11">
        <v>0</v>
      </c>
      <c r="J78" s="11">
        <v>0</v>
      </c>
      <c r="K78" s="2">
        <v>0</v>
      </c>
      <c r="L78" s="11">
        <v>12.8</v>
      </c>
      <c r="M78" s="2">
        <v>48000</v>
      </c>
      <c r="N78" s="2">
        <v>0</v>
      </c>
      <c r="O78" s="2">
        <v>48000</v>
      </c>
      <c r="P78" s="2">
        <v>0</v>
      </c>
      <c r="Q78" s="11">
        <v>200</v>
      </c>
      <c r="R78" s="11">
        <v>7</v>
      </c>
      <c r="S78" s="2">
        <v>0</v>
      </c>
      <c r="T78" s="2">
        <v>0.5</v>
      </c>
      <c r="U78" s="2">
        <v>0.8</v>
      </c>
      <c r="V78" s="2">
        <f t="shared" si="41"/>
        <v>14.96</v>
      </c>
      <c r="W78" s="2">
        <f t="shared" si="42"/>
        <v>2.0399999999999991</v>
      </c>
      <c r="X78" s="1">
        <v>17</v>
      </c>
      <c r="Y78" s="2">
        <f t="shared" si="59"/>
        <v>6960.4799999999968</v>
      </c>
      <c r="Z78" s="3">
        <f t="shared" si="22"/>
        <v>24.36</v>
      </c>
      <c r="AA78" s="2">
        <f t="shared" si="23"/>
        <v>0</v>
      </c>
      <c r="AB78" s="6">
        <f t="shared" si="43"/>
        <v>0</v>
      </c>
      <c r="AC78" s="2">
        <f t="shared" si="44"/>
        <v>12.8</v>
      </c>
      <c r="AD78" s="5">
        <f t="shared" si="45"/>
        <v>39840</v>
      </c>
      <c r="AE78" s="3">
        <f t="shared" si="46"/>
        <v>3.3361246022441802</v>
      </c>
      <c r="AF78" s="2">
        <f t="shared" si="47"/>
        <v>39840</v>
      </c>
      <c r="AG78" s="3">
        <f t="shared" si="48"/>
        <v>3.3361246022441802</v>
      </c>
      <c r="AH78" s="2">
        <f t="shared" si="49"/>
        <v>700</v>
      </c>
      <c r="AI78" s="2">
        <f t="shared" si="50"/>
        <v>35</v>
      </c>
      <c r="AJ78" s="3">
        <f t="shared" si="51"/>
        <v>2.0588235294117645</v>
      </c>
      <c r="AK78" s="2">
        <f t="shared" si="52"/>
        <v>160</v>
      </c>
      <c r="AL78" s="2">
        <f t="shared" si="53"/>
        <v>1.024</v>
      </c>
      <c r="AM78" s="7">
        <f t="shared" si="54"/>
        <v>4.375</v>
      </c>
      <c r="AN78" s="2">
        <f t="shared" si="55"/>
        <v>140</v>
      </c>
      <c r="AO78" s="2">
        <f t="shared" si="56"/>
        <v>7</v>
      </c>
      <c r="AP78" s="2">
        <f t="shared" si="57"/>
        <v>5</v>
      </c>
      <c r="AQ78" s="2">
        <f t="shared" si="58"/>
        <v>340</v>
      </c>
    </row>
    <row r="79" spans="1:43" x14ac:dyDescent="0.3">
      <c r="A79" s="14" t="s">
        <v>128</v>
      </c>
      <c r="B79" s="12" t="s">
        <v>71</v>
      </c>
      <c r="C79" s="1" t="s">
        <v>73</v>
      </c>
      <c r="D79" s="1" t="s">
        <v>75</v>
      </c>
      <c r="E79" s="1">
        <v>39.928265000000003</v>
      </c>
      <c r="F79" s="1">
        <v>39.928265000000003</v>
      </c>
      <c r="G79" s="11">
        <v>20</v>
      </c>
      <c r="H79" s="2">
        <v>0</v>
      </c>
      <c r="I79" s="11">
        <v>0</v>
      </c>
      <c r="J79" s="11">
        <v>0</v>
      </c>
      <c r="K79" s="2">
        <v>0</v>
      </c>
      <c r="L79" s="11">
        <v>24</v>
      </c>
      <c r="M79" s="2">
        <v>10200</v>
      </c>
      <c r="N79" s="2">
        <v>0</v>
      </c>
      <c r="O79" s="2">
        <v>0</v>
      </c>
      <c r="P79" s="2">
        <v>0</v>
      </c>
      <c r="Q79" s="11">
        <v>200</v>
      </c>
      <c r="R79" s="11">
        <v>4</v>
      </c>
      <c r="S79" s="2">
        <v>0</v>
      </c>
      <c r="T79" s="2">
        <v>0.5</v>
      </c>
      <c r="U79" s="2">
        <v>0.8</v>
      </c>
      <c r="V79" s="2">
        <f t="shared" si="41"/>
        <v>13.2</v>
      </c>
      <c r="W79" s="2">
        <f t="shared" si="42"/>
        <v>1.8000000000000007</v>
      </c>
      <c r="X79" s="1">
        <v>15</v>
      </c>
      <c r="Y79" s="2">
        <f t="shared" si="59"/>
        <v>6141.6000000000022</v>
      </c>
      <c r="Z79" s="3">
        <f t="shared" si="22"/>
        <v>13.92</v>
      </c>
      <c r="AA79" s="2">
        <f t="shared" si="23"/>
        <v>0</v>
      </c>
      <c r="AB79" s="6">
        <f t="shared" si="43"/>
        <v>0</v>
      </c>
      <c r="AC79" s="2">
        <f t="shared" si="44"/>
        <v>24</v>
      </c>
      <c r="AD79" s="5">
        <f t="shared" si="45"/>
        <v>8466</v>
      </c>
      <c r="AE79" s="3">
        <f t="shared" si="46"/>
        <v>0.70892647797688835</v>
      </c>
      <c r="AF79" s="2">
        <f t="shared" si="47"/>
        <v>0</v>
      </c>
      <c r="AG79" s="3">
        <f t="shared" si="48"/>
        <v>0</v>
      </c>
      <c r="AH79" s="2">
        <f t="shared" si="49"/>
        <v>400</v>
      </c>
      <c r="AI79" s="2">
        <f t="shared" si="50"/>
        <v>20</v>
      </c>
      <c r="AJ79" s="3">
        <f t="shared" si="51"/>
        <v>1.3333333333333333</v>
      </c>
      <c r="AK79" s="2">
        <f t="shared" si="52"/>
        <v>300</v>
      </c>
      <c r="AL79" s="2">
        <f t="shared" si="53"/>
        <v>1.92</v>
      </c>
      <c r="AM79" s="7">
        <f t="shared" si="54"/>
        <v>1.3333333333333333</v>
      </c>
      <c r="AN79" s="2">
        <f t="shared" si="55"/>
        <v>80</v>
      </c>
      <c r="AO79" s="2">
        <f t="shared" si="56"/>
        <v>4</v>
      </c>
      <c r="AP79" s="2">
        <f t="shared" si="57"/>
        <v>5</v>
      </c>
      <c r="AQ79" s="2">
        <f t="shared" si="58"/>
        <v>300</v>
      </c>
    </row>
    <row r="80" spans="1:43" x14ac:dyDescent="0.3">
      <c r="A80" s="14" t="s">
        <v>129</v>
      </c>
      <c r="B80" s="12" t="s">
        <v>70</v>
      </c>
      <c r="C80" s="1" t="s">
        <v>73</v>
      </c>
      <c r="D80" s="1" t="s">
        <v>75</v>
      </c>
      <c r="E80" s="1">
        <v>39.914628</v>
      </c>
      <c r="F80" s="1">
        <v>39.914628</v>
      </c>
      <c r="G80" s="11">
        <v>0</v>
      </c>
      <c r="H80" s="2">
        <v>0</v>
      </c>
      <c r="I80" s="11">
        <v>100</v>
      </c>
      <c r="J80" s="11">
        <v>35</v>
      </c>
      <c r="K80" s="2">
        <v>0</v>
      </c>
      <c r="L80" s="11">
        <v>24</v>
      </c>
      <c r="M80" s="2">
        <v>10200</v>
      </c>
      <c r="N80" s="2">
        <v>0</v>
      </c>
      <c r="O80" s="2">
        <v>0</v>
      </c>
      <c r="P80" s="2">
        <v>0</v>
      </c>
      <c r="Q80" s="11">
        <v>200</v>
      </c>
      <c r="R80" s="11">
        <v>4</v>
      </c>
      <c r="S80" s="2">
        <v>0</v>
      </c>
      <c r="T80" s="2">
        <v>0.5</v>
      </c>
      <c r="U80" s="2">
        <v>0.8</v>
      </c>
      <c r="V80" s="2">
        <f t="shared" si="41"/>
        <v>14.96</v>
      </c>
      <c r="W80" s="2">
        <f t="shared" si="42"/>
        <v>2.0399999999999991</v>
      </c>
      <c r="X80" s="1">
        <v>17</v>
      </c>
      <c r="Y80" s="2">
        <f t="shared" si="59"/>
        <v>6960.4799999999968</v>
      </c>
      <c r="Z80" s="3">
        <f t="shared" si="22"/>
        <v>0</v>
      </c>
      <c r="AA80" s="2">
        <f t="shared" si="23"/>
        <v>31.28</v>
      </c>
      <c r="AB80" s="6">
        <f t="shared" si="43"/>
        <v>24.36</v>
      </c>
      <c r="AC80" s="2">
        <f t="shared" si="44"/>
        <v>24</v>
      </c>
      <c r="AD80" s="5">
        <f t="shared" si="45"/>
        <v>8466</v>
      </c>
      <c r="AE80" s="3">
        <f t="shared" si="46"/>
        <v>0.70892647797688835</v>
      </c>
      <c r="AF80" s="2">
        <f t="shared" si="47"/>
        <v>0</v>
      </c>
      <c r="AG80" s="3">
        <f t="shared" si="48"/>
        <v>0</v>
      </c>
      <c r="AH80" s="2">
        <f t="shared" si="49"/>
        <v>400</v>
      </c>
      <c r="AI80" s="2">
        <f t="shared" si="50"/>
        <v>20</v>
      </c>
      <c r="AJ80" s="3">
        <f t="shared" si="51"/>
        <v>1.1764705882352942</v>
      </c>
      <c r="AK80" s="2">
        <f t="shared" si="52"/>
        <v>300</v>
      </c>
      <c r="AL80" s="2">
        <f t="shared" si="53"/>
        <v>1.92</v>
      </c>
      <c r="AM80" s="7">
        <f t="shared" si="54"/>
        <v>1.3333333333333333</v>
      </c>
      <c r="AN80" s="2">
        <f t="shared" si="55"/>
        <v>80</v>
      </c>
      <c r="AO80" s="2">
        <f t="shared" si="56"/>
        <v>4</v>
      </c>
      <c r="AP80" s="2">
        <f t="shared" si="57"/>
        <v>5</v>
      </c>
      <c r="AQ80" s="2">
        <f t="shared" si="58"/>
        <v>340</v>
      </c>
    </row>
    <row r="81" spans="1:43" x14ac:dyDescent="0.3">
      <c r="A81" s="14" t="s">
        <v>130</v>
      </c>
      <c r="B81" s="12" t="s">
        <v>70</v>
      </c>
      <c r="C81" s="1" t="s">
        <v>73</v>
      </c>
      <c r="D81" s="1" t="s">
        <v>74</v>
      </c>
      <c r="E81" s="1">
        <v>39.989533000000002</v>
      </c>
      <c r="F81" s="1">
        <v>39.989533000000002</v>
      </c>
      <c r="G81" s="11">
        <v>0</v>
      </c>
      <c r="H81" s="2">
        <v>0</v>
      </c>
      <c r="I81" s="11">
        <v>100</v>
      </c>
      <c r="J81" s="11">
        <v>25</v>
      </c>
      <c r="K81" s="2">
        <v>0</v>
      </c>
      <c r="L81" s="11">
        <v>18</v>
      </c>
      <c r="M81" s="2">
        <v>10200</v>
      </c>
      <c r="N81" s="2">
        <v>0</v>
      </c>
      <c r="O81" s="2">
        <v>0</v>
      </c>
      <c r="P81" s="2">
        <v>0</v>
      </c>
      <c r="Q81" s="11">
        <v>200</v>
      </c>
      <c r="R81" s="11">
        <v>4</v>
      </c>
      <c r="S81" s="2">
        <v>0</v>
      </c>
      <c r="T81" s="2">
        <v>0.5</v>
      </c>
      <c r="U81" s="2">
        <v>0.8</v>
      </c>
      <c r="V81" s="2">
        <f t="shared" si="41"/>
        <v>14.96</v>
      </c>
      <c r="W81" s="2">
        <f t="shared" si="42"/>
        <v>2.0399999999999991</v>
      </c>
      <c r="X81" s="1">
        <v>17</v>
      </c>
      <c r="Y81" s="2">
        <f t="shared" si="59"/>
        <v>6960.4799999999968</v>
      </c>
      <c r="Z81" s="3">
        <f t="shared" si="22"/>
        <v>0</v>
      </c>
      <c r="AA81" s="2">
        <f t="shared" si="23"/>
        <v>31.28</v>
      </c>
      <c r="AB81" s="6">
        <f t="shared" si="43"/>
        <v>17.399999999999999</v>
      </c>
      <c r="AC81" s="2">
        <f t="shared" si="44"/>
        <v>18</v>
      </c>
      <c r="AD81" s="5">
        <f t="shared" si="45"/>
        <v>8466</v>
      </c>
      <c r="AE81" s="3">
        <f t="shared" si="46"/>
        <v>0.70892647797688835</v>
      </c>
      <c r="AF81" s="2">
        <f t="shared" si="47"/>
        <v>0</v>
      </c>
      <c r="AG81" s="3">
        <f t="shared" si="48"/>
        <v>0</v>
      </c>
      <c r="AH81" s="2">
        <f t="shared" si="49"/>
        <v>400</v>
      </c>
      <c r="AI81" s="2">
        <f t="shared" si="50"/>
        <v>20</v>
      </c>
      <c r="AJ81" s="3">
        <f t="shared" si="51"/>
        <v>1.1764705882352942</v>
      </c>
      <c r="AK81" s="2">
        <f t="shared" si="52"/>
        <v>225</v>
      </c>
      <c r="AL81" s="2">
        <f t="shared" si="53"/>
        <v>1.44</v>
      </c>
      <c r="AM81" s="7">
        <f t="shared" si="54"/>
        <v>1.7777777777777777</v>
      </c>
      <c r="AN81" s="2">
        <f t="shared" si="55"/>
        <v>80</v>
      </c>
      <c r="AO81" s="2">
        <f t="shared" si="56"/>
        <v>4</v>
      </c>
      <c r="AP81" s="2">
        <f t="shared" si="57"/>
        <v>5</v>
      </c>
      <c r="AQ81" s="2">
        <f t="shared" si="58"/>
        <v>340</v>
      </c>
    </row>
  </sheetData>
  <autoFilter ref="A1:AQ81" xr:uid="{28E648F4-B5C1-4913-893C-C072E6E2A6BC}"/>
  <conditionalFormatting sqref="A1:A1048576">
    <cfRule type="duplicateValues" dxfId="7" priority="6"/>
    <cfRule type="duplicateValues" dxfId="6" priority="86"/>
  </conditionalFormatting>
  <conditionalFormatting sqref="A82:A1048576 A1:A53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2026-04-30T08:34:55Z</dcterms:modified>
</cp:coreProperties>
</file>